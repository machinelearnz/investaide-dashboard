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ortfolio" sheetId="1" r:id="rId1"/>
    <sheet name="Raw Data" sheetId="2" r:id="rId2"/>
    <sheet name="Sheet1" sheetId="3" r:id="rId3"/>
  </sheets>
  <definedNames>
    <definedName name="_xlnm._FilterDatabase" localSheetId="1" hidden="1">'Raw Data'!$A$1:$C$701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10" i="1" l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<sst xmlns="http://schemas.openxmlformats.org/spreadsheetml/2006/main" count="1422" uniqueCount="1409">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</sst>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I7" sqref="I7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55</v>
      </c>
      <c r="C2" s="1">
        <v>121</v>
      </c>
      <c r="D2" s="9" t="str">
        <f>IF(B2="", "", VLOOKUP(B2,'Raw Data'!$B$1:$C$701, 2, 0))</f>
        <v>HDFCBANK.NS</v>
      </c>
      <c r="E2" s="10">
        <f>IF(B2="","",C2/$C$52)</f>
        <v>0.16026490066225166</v>
      </c>
    </row>
    <row r="3" spans="1:5" x14ac:dyDescent="0.25">
      <c r="A3" s="9">
        <f t="shared" ref="A3:A34" si="0">IF(B3="","",A2+1)</f>
        <v>2</v>
      </c>
      <c r="B3" s="1" t="s">
        <v>63</v>
      </c>
      <c r="C3" s="1">
        <v>122</v>
      </c>
      <c r="D3" s="9" t="str">
        <f>IF(B3="", "", VLOOKUP(B3,'Raw Data'!$B$1:$C$701, 2, 0))</f>
        <v>INFY.NS</v>
      </c>
      <c r="E3" s="10">
        <f t="shared" ref="E3:E51" si="1">IF(B3="","",C3/$C$52)</f>
        <v>0.16158940397350993</v>
      </c>
    </row>
    <row r="4" spans="1:5" x14ac:dyDescent="0.25">
      <c r="A4" s="9">
        <f t="shared" si="0"/>
        <v>3</v>
      </c>
      <c r="B4" s="1" t="s">
        <v>155</v>
      </c>
      <c r="C4" s="1">
        <v>31</v>
      </c>
      <c r="D4" s="9" t="str">
        <f>IF(B4="", "", VLOOKUP(B4,'Raw Data'!$B$1:$C$701, 2, 0))</f>
        <v>ASIANPAINT.NS</v>
      </c>
      <c r="E4" s="10">
        <f t="shared" si="1"/>
        <v>4.105960264900662E-2</v>
      </c>
    </row>
    <row r="5" spans="1:5" x14ac:dyDescent="0.25">
      <c r="A5" s="9">
        <f t="shared" si="0"/>
        <v>4</v>
      </c>
      <c r="B5" s="1" t="s">
        <v>106</v>
      </c>
      <c r="C5" s="1">
        <v>20</v>
      </c>
      <c r="D5" s="9" t="str">
        <f>IF(B5="", "", VLOOKUP(B5,'Raw Data'!$B$1:$C$701, 2, 0))</f>
        <v>SHREECEM.NS</v>
      </c>
      <c r="E5" s="10">
        <f t="shared" si="1"/>
        <v>2.6490066225165563E-2</v>
      </c>
    </row>
    <row r="6" spans="1:5" x14ac:dyDescent="0.25">
      <c r="A6" s="9">
        <f t="shared" si="0"/>
        <v>5</v>
      </c>
      <c r="B6" s="1" t="s">
        <v>317</v>
      </c>
      <c r="C6" s="1">
        <v>99</v>
      </c>
      <c r="D6" s="9" t="str">
        <f>IF(B6="", "", VLOOKUP(B6,'Raw Data'!$B$1:$C$701, 2, 0))</f>
        <v>SUNPHARMA.NS</v>
      </c>
      <c r="E6" s="10">
        <f t="shared" si="1"/>
        <v>0.13112582781456952</v>
      </c>
    </row>
    <row r="7" spans="1:5" x14ac:dyDescent="0.25">
      <c r="A7" s="9">
        <f t="shared" si="0"/>
        <v>6</v>
      </c>
      <c r="B7" s="1" t="s">
        <v>416</v>
      </c>
      <c r="C7" s="1">
        <v>54</v>
      </c>
      <c r="D7" s="9" t="str">
        <f>IF(B7="", "", VLOOKUP(B7,'Raw Data'!$B$1:$C$701, 2, 0))</f>
        <v>MARUTI.NS</v>
      </c>
      <c r="E7" s="10">
        <f t="shared" si="1"/>
        <v>7.1523178807947022E-2</v>
      </c>
    </row>
    <row r="8" spans="1:5" x14ac:dyDescent="0.25">
      <c r="A8" s="9">
        <f t="shared" si="0"/>
        <v>7</v>
      </c>
      <c r="B8" s="1" t="s">
        <v>56</v>
      </c>
      <c r="C8" s="1">
        <v>32</v>
      </c>
      <c r="D8" s="9" t="str">
        <f>IF(B8="", "", VLOOKUP(B8,'Raw Data'!$B$1:$C$701, 2, 0))</f>
        <v>HEROMOTOCO.NS</v>
      </c>
      <c r="E8" s="10">
        <f t="shared" si="1"/>
        <v>4.2384105960264901E-2</v>
      </c>
    </row>
    <row r="9" spans="1:5" x14ac:dyDescent="0.25">
      <c r="A9" s="9">
        <f t="shared" si="0"/>
        <v>8</v>
      </c>
      <c r="B9" s="1" t="s">
        <v>161</v>
      </c>
      <c r="C9" s="1">
        <v>77</v>
      </c>
      <c r="D9" s="9" t="str">
        <f>IF(B9="", "", VLOOKUP(B9,'Raw Data'!$B$1:$C$701, 2, 0))</f>
        <v>ITC.NS</v>
      </c>
      <c r="E9" s="10">
        <f t="shared" si="1"/>
        <v>0.10198675496688742</v>
      </c>
    </row>
    <row r="10" spans="1:5" x14ac:dyDescent="0.25">
      <c r="A10" s="9">
        <f t="shared" si="0"/>
        <v>9</v>
      </c>
      <c r="B10" s="1" t="s">
        <v>133</v>
      </c>
      <c r="C10" s="1">
        <v>99</v>
      </c>
      <c r="D10" s="9" t="str">
        <f>IF(B10="", "", VLOOKUP(B10,'Raw Data'!$B$1:$C$701, 2, 0))</f>
        <v>LT.NS</v>
      </c>
      <c r="E10" s="10">
        <f t="shared" si="1"/>
        <v>0.13112582781456952</v>
      </c>
    </row>
    <row r="11" spans="1:5" x14ac:dyDescent="0.25">
      <c r="A11" s="9">
        <f t="shared" si="0"/>
        <v>10</v>
      </c>
      <c r="B11" s="1" t="s">
        <v>138</v>
      </c>
      <c r="C11" s="1">
        <v>100</v>
      </c>
      <c r="D11" s="9" t="str">
        <f>IF(B11="", "", VLOOKUP(B11,'Raw Data'!$B$1:$C$701, 2, 0))</f>
        <v>TATAMOTORS.NS</v>
      </c>
      <c r="E11" s="10">
        <f t="shared" si="1"/>
        <v>0.13245033112582782</v>
      </c>
    </row>
    <row r="12" spans="1:5" x14ac:dyDescent="0.25">
      <c r="A12" s="9" t="str">
        <f t="shared" si="0"/>
        <v/>
      </c>
      <c r="B12" s="1"/>
      <c r="C12" s="1"/>
      <c r="D12" s="9" t="str">
        <f>IF(B12="", "", VLOOKUP(B12,'Raw Data'!$B$1:$C$701, 2, 0))</f>
        <v/>
      </c>
      <c r="E12" s="10" t="str">
        <f t="shared" si="1"/>
        <v/>
      </c>
    </row>
    <row r="13" spans="1:5" x14ac:dyDescent="0.25">
      <c r="A13" s="9" t="str">
        <f t="shared" si="0"/>
        <v/>
      </c>
      <c r="B13" s="1"/>
      <c r="C13" s="1"/>
      <c r="D13" s="9" t="str">
        <f>IF(B13="", "", VLOOKUP(B13,'Raw Data'!$B$1:$C$701, 2, 0))</f>
        <v/>
      </c>
      <c r="E13" s="10" t="str">
        <f t="shared" si="1"/>
        <v/>
      </c>
    </row>
    <row r="14" spans="1:5" x14ac:dyDescent="0.25">
      <c r="A14" s="9" t="str">
        <f t="shared" si="0"/>
        <v/>
      </c>
      <c r="B14" s="1"/>
      <c r="C14" s="1"/>
      <c r="D14" s="9" t="str">
        <f>IF(B14="", "", VLOOKUP(B14,'Raw Data'!$B$1:$C$701, 2, 0))</f>
        <v/>
      </c>
      <c r="E14" s="10" t="str">
        <f t="shared" si="1"/>
        <v/>
      </c>
    </row>
    <row r="15" spans="1:5" x14ac:dyDescent="0.25">
      <c r="A15" s="9" t="str">
        <f t="shared" si="0"/>
        <v/>
      </c>
      <c r="B15" s="1"/>
      <c r="C15" s="1"/>
      <c r="D15" s="9" t="str">
        <f>IF(B15="", "", VLOOKUP(B15,'Raw Data'!$B$1:$C$701, 2, 0))</f>
        <v/>
      </c>
      <c r="E15" s="10" t="str">
        <f t="shared" si="1"/>
        <v/>
      </c>
    </row>
    <row r="16" spans="1:5" x14ac:dyDescent="0.25">
      <c r="A16" s="9" t="str">
        <f t="shared" si="0"/>
        <v/>
      </c>
      <c r="B16" s="1"/>
      <c r="C16" s="1"/>
      <c r="D16" s="9" t="str">
        <f>IF(B16="", "", VLOOKUP(B16,'Raw Data'!$B$1:$C$701, 2, 0))</f>
        <v/>
      </c>
      <c r="E16" s="10" t="str">
        <f t="shared" si="1"/>
        <v/>
      </c>
    </row>
    <row r="17" spans="1:5" x14ac:dyDescent="0.25">
      <c r="A17" s="9" t="str">
        <f t="shared" si="0"/>
        <v/>
      </c>
      <c r="B17" s="1"/>
      <c r="C17" s="1"/>
      <c r="D17" s="9" t="str">
        <f>IF(B17="", "", VLOOKUP(B17,'Raw Data'!$B$1:$C$701, 2, 0))</f>
        <v/>
      </c>
      <c r="E17" s="10" t="str">
        <f t="shared" si="1"/>
        <v/>
      </c>
    </row>
    <row r="18" spans="1:5" x14ac:dyDescent="0.25">
      <c r="A18" s="9" t="str">
        <f t="shared" si="0"/>
        <v/>
      </c>
      <c r="B18" s="1"/>
      <c r="C18" s="1"/>
      <c r="D18" s="9" t="str">
        <f>IF(B18="", "", VLOOKUP(B18,'Raw Data'!$B$1:$C$701, 2, 0))</f>
        <v/>
      </c>
      <c r="E18" s="10" t="str">
        <f t="shared" si="1"/>
        <v/>
      </c>
    </row>
    <row r="19" spans="1:5" x14ac:dyDescent="0.25">
      <c r="A19" s="9" t="str">
        <f t="shared" si="0"/>
        <v/>
      </c>
      <c r="B19" s="1"/>
      <c r="C19" s="1"/>
      <c r="D19" s="9" t="str">
        <f>IF(B19="", "", VLOOKUP(B19,'Raw Data'!$B$1:$C$701, 2, 0))</f>
        <v/>
      </c>
      <c r="E19" s="10" t="str">
        <f t="shared" si="1"/>
        <v/>
      </c>
    </row>
    <row r="20" spans="1:5" x14ac:dyDescent="0.25">
      <c r="A20" s="9" t="str">
        <f t="shared" si="0"/>
        <v/>
      </c>
      <c r="B20" s="1"/>
      <c r="C20" s="1"/>
      <c r="D20" s="9" t="str">
        <f>IF(B20="", "", VLOOKUP(B20,'Raw Data'!$B$1:$C$701, 2, 0))</f>
        <v/>
      </c>
      <c r="E20" s="10" t="str">
        <f t="shared" si="1"/>
        <v/>
      </c>
    </row>
    <row r="21" spans="1:5" x14ac:dyDescent="0.25">
      <c r="A21" s="9" t="str">
        <f t="shared" si="0"/>
        <v/>
      </c>
      <c r="B21" s="1"/>
      <c r="C21" s="1"/>
      <c r="D21" s="9" t="str">
        <f>IF(B21="", "", VLOOKUP(B21,'Raw Data'!$B$1:$C$701, 2, 0))</f>
        <v/>
      </c>
      <c r="E21" s="10" t="str">
        <f t="shared" si="1"/>
        <v/>
      </c>
    </row>
    <row r="22" spans="1:5" x14ac:dyDescent="0.25">
      <c r="A22" s="9" t="str">
        <f t="shared" si="0"/>
        <v/>
      </c>
      <c r="B22" s="1"/>
      <c r="C22" s="1"/>
      <c r="D22" s="9" t="str">
        <f>IF(B22="", "", VLOOKUP(B22,'Raw Data'!$B$1:$C$701, 2, 0))</f>
        <v/>
      </c>
      <c r="E22" s="10" t="str">
        <f t="shared" si="1"/>
        <v/>
      </c>
    </row>
    <row r="23" spans="1:5" x14ac:dyDescent="0.25">
      <c r="A23" s="9" t="str">
        <f t="shared" si="0"/>
        <v/>
      </c>
      <c r="B23" s="1"/>
      <c r="C23" s="1"/>
      <c r="D23" s="9" t="str">
        <f>IF(B23="", "", VLOOKUP(B23,'Raw Data'!$B$1:$C$701, 2, 0))</f>
        <v/>
      </c>
      <c r="E23" s="10" t="str">
        <f t="shared" si="1"/>
        <v/>
      </c>
    </row>
    <row r="24" spans="1:5" x14ac:dyDescent="0.25">
      <c r="A24" s="9" t="str">
        <f t="shared" si="0"/>
        <v/>
      </c>
      <c r="B24" s="1"/>
      <c r="C24" s="1"/>
      <c r="D24" s="9" t="str">
        <f>IF(B24="", "", VLOOKUP(B24,'Raw Data'!$B$1:$C$701, 2, 0))</f>
        <v/>
      </c>
      <c r="E24" s="10" t="str">
        <f t="shared" si="1"/>
        <v/>
      </c>
    </row>
    <row r="25" spans="1:5" x14ac:dyDescent="0.25">
      <c r="A25" s="9" t="str">
        <f t="shared" si="0"/>
        <v/>
      </c>
      <c r="B25" s="1"/>
      <c r="C25" s="1"/>
      <c r="D25" s="9" t="str">
        <f>IF(B25="", "", VLOOKUP(B25,'Raw Data'!$B$1:$C$701, 2, 0))</f>
        <v/>
      </c>
      <c r="E25" s="10" t="str">
        <f t="shared" si="1"/>
        <v/>
      </c>
    </row>
    <row r="26" spans="1:5" x14ac:dyDescent="0.25">
      <c r="A26" s="9" t="str">
        <f t="shared" si="0"/>
        <v/>
      </c>
      <c r="B26" s="1"/>
      <c r="C26" s="1"/>
      <c r="D26" s="9" t="str">
        <f>IF(B26="", "", VLOOKUP(B26,'Raw Data'!$B$1:$C$701, 2, 0))</f>
        <v/>
      </c>
      <c r="E26" s="10" t="str">
        <f t="shared" si="1"/>
        <v/>
      </c>
    </row>
    <row r="27" spans="1:5" x14ac:dyDescent="0.25">
      <c r="A27" s="9" t="str">
        <f t="shared" si="0"/>
        <v/>
      </c>
      <c r="B27" s="1"/>
      <c r="C27" s="1"/>
      <c r="D27" s="9" t="str">
        <f>IF(B27="", "", VLOOKUP(B27,'Raw Data'!$B$1:$C$701, 2, 0))</f>
        <v/>
      </c>
      <c r="E27" s="10" t="str">
        <f t="shared" si="1"/>
        <v/>
      </c>
    </row>
    <row r="28" spans="1:5" x14ac:dyDescent="0.25">
      <c r="A28" s="9" t="str">
        <f t="shared" si="0"/>
        <v/>
      </c>
      <c r="B28" s="1"/>
      <c r="C28" s="1"/>
      <c r="D28" s="9" t="str">
        <f>IF(B28="", "", VLOOKUP(B28,'Raw Data'!$B$1:$C$701, 2, 0))</f>
        <v/>
      </c>
      <c r="E28" s="10" t="str">
        <f t="shared" si="1"/>
        <v/>
      </c>
    </row>
    <row r="29" spans="1:5" x14ac:dyDescent="0.25">
      <c r="A29" s="9" t="str">
        <f t="shared" si="0"/>
        <v/>
      </c>
      <c r="B29" s="1"/>
      <c r="C29" s="1"/>
      <c r="D29" s="9" t="str">
        <f>IF(B29="", "", VLOOKUP(B29,'Raw Data'!$B$1:$C$701, 2, 0))</f>
        <v/>
      </c>
      <c r="E29" s="10" t="str">
        <f t="shared" si="1"/>
        <v/>
      </c>
    </row>
    <row r="30" spans="1:5" x14ac:dyDescent="0.25">
      <c r="A30" s="9" t="str">
        <f t="shared" si="0"/>
        <v/>
      </c>
      <c r="B30" s="1"/>
      <c r="C30" s="1"/>
      <c r="D30" s="9" t="str">
        <f>IF(B30="", "", VLOOKUP(B30,'Raw Data'!$B$1:$C$701, 2, 0))</f>
        <v/>
      </c>
      <c r="E30" s="10" t="str">
        <f t="shared" si="1"/>
        <v/>
      </c>
    </row>
    <row r="31" spans="1:5" x14ac:dyDescent="0.25">
      <c r="A31" s="9" t="str">
        <f t="shared" si="0"/>
        <v/>
      </c>
      <c r="B31" s="1"/>
      <c r="C31" s="1"/>
      <c r="D31" s="9" t="str">
        <f>IF(B31="", "", VLOOKUP(B31,'Raw Data'!$B$1:$C$701, 2, 0))</f>
        <v/>
      </c>
      <c r="E31" s="10" t="str">
        <f t="shared" si="1"/>
        <v/>
      </c>
    </row>
    <row r="32" spans="1:5" x14ac:dyDescent="0.25">
      <c r="A32" s="9" t="str">
        <f t="shared" si="0"/>
        <v/>
      </c>
      <c r="B32" s="1"/>
      <c r="C32" s="1"/>
      <c r="D32" s="9" t="str">
        <f>IF(B32="", "", VLOOKUP(B32,'Raw Data'!$B$1:$C$701, 2, 0))</f>
        <v/>
      </c>
      <c r="E32" s="10" t="str">
        <f t="shared" si="1"/>
        <v/>
      </c>
    </row>
    <row r="33" spans="1:5" x14ac:dyDescent="0.25">
      <c r="A33" s="9" t="str">
        <f t="shared" si="0"/>
        <v/>
      </c>
      <c r="B33" s="1"/>
      <c r="C33" s="1"/>
      <c r="D33" s="9" t="str">
        <f>IF(B33="", "", VLOOKUP(B33,'Raw Data'!$B$1:$C$701, 2, 0))</f>
        <v/>
      </c>
      <c r="E33" s="10" t="str">
        <f t="shared" si="1"/>
        <v/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755</v>
      </c>
      <c r="D52" s="11" t="s">
        <v>1</v>
      </c>
      <c r="E52" s="12">
        <f t="shared" ref="E52" si="3">C52/$C$52</f>
        <v>1</v>
      </c>
    </row>
  </sheetData>
  <sheetProtection selectLockedCells="1"/>
  <dataValidations count="3">
    <dataValidation type="list" allowBlank="1" showInputMessage="1" showErrorMessage="1" sqref="B2:B51">
      <formula1>stock_name</formula1>
    </dataValidation>
    <dataValidation type="decimal" allowBlank="1" showInputMessage="1" showErrorMessage="1" sqref="C12:C51">
      <formula1>0</formula1>
      <formula2>99.9</formula2>
    </dataValidation>
    <dataValidation type="decimal" allowBlank="1" showInputMessage="1" showErrorMessage="1" sqref="C2:C11">
      <formula1>0</formula1>
      <formula2>9999999999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1"/>
  <sheetViews>
    <sheetView workbookViewId="0">
      <selection activeCell="A3" sqref="A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3" x14ac:dyDescent="0.25">
      <c r="A1" s="5" t="s">
        <v>3</v>
      </c>
      <c r="B1" s="5" t="s">
        <v>0</v>
      </c>
      <c r="C1" s="5" t="s">
        <v>2</v>
      </c>
    </row>
    <row r="2" spans="1:3" x14ac:dyDescent="0.25">
      <c r="A2" s="6">
        <v>1</v>
      </c>
      <c r="B2" s="6" t="s">
        <v>291</v>
      </c>
      <c r="C2" s="6" t="s">
        <v>991</v>
      </c>
    </row>
    <row r="3" spans="1:3" x14ac:dyDescent="0.25">
      <c r="A3" s="6">
        <v>2</v>
      </c>
      <c r="B3" s="6" t="s">
        <v>311</v>
      </c>
      <c r="C3" s="6" t="s">
        <v>1011</v>
      </c>
    </row>
    <row r="4" spans="1:3" x14ac:dyDescent="0.25">
      <c r="A4" s="6">
        <v>3</v>
      </c>
      <c r="B4" s="6" t="s">
        <v>308</v>
      </c>
      <c r="C4" s="6" t="s">
        <v>1008</v>
      </c>
    </row>
    <row r="5" spans="1:3" x14ac:dyDescent="0.25">
      <c r="A5" s="6">
        <v>4</v>
      </c>
      <c r="B5" s="6" t="s">
        <v>672</v>
      </c>
      <c r="C5" s="6" t="s">
        <v>1372</v>
      </c>
    </row>
    <row r="6" spans="1:3" x14ac:dyDescent="0.25">
      <c r="A6" s="6">
        <v>5</v>
      </c>
      <c r="B6" s="6" t="s">
        <v>4</v>
      </c>
      <c r="C6" s="6" t="s">
        <v>704</v>
      </c>
    </row>
    <row r="7" spans="1:3" x14ac:dyDescent="0.25">
      <c r="A7" s="6">
        <v>6</v>
      </c>
      <c r="B7" s="6" t="s">
        <v>702</v>
      </c>
      <c r="C7" s="6" t="s">
        <v>1402</v>
      </c>
    </row>
    <row r="8" spans="1:3" x14ac:dyDescent="0.25">
      <c r="A8" s="6">
        <v>7</v>
      </c>
      <c r="B8" s="6" t="s">
        <v>129</v>
      </c>
      <c r="C8" s="6" t="s">
        <v>829</v>
      </c>
    </row>
    <row r="9" spans="1:3" x14ac:dyDescent="0.25">
      <c r="A9" s="6">
        <v>8</v>
      </c>
      <c r="B9" s="6" t="s">
        <v>114</v>
      </c>
      <c r="C9" s="6" t="s">
        <v>814</v>
      </c>
    </row>
    <row r="10" spans="1:3" x14ac:dyDescent="0.25">
      <c r="A10" s="6">
        <v>9</v>
      </c>
      <c r="B10" s="6" t="s">
        <v>379</v>
      </c>
      <c r="C10" s="6" t="s">
        <v>1079</v>
      </c>
    </row>
    <row r="11" spans="1:3" x14ac:dyDescent="0.25">
      <c r="A11" s="6">
        <v>10</v>
      </c>
      <c r="B11" s="6" t="s">
        <v>466</v>
      </c>
      <c r="C11" s="6" t="s">
        <v>1166</v>
      </c>
    </row>
    <row r="12" spans="1:3" x14ac:dyDescent="0.25">
      <c r="A12" s="6">
        <v>11</v>
      </c>
      <c r="B12" s="6" t="s">
        <v>241</v>
      </c>
      <c r="C12" s="6" t="s">
        <v>941</v>
      </c>
    </row>
    <row r="13" spans="1:3" x14ac:dyDescent="0.25">
      <c r="A13" s="6">
        <v>12</v>
      </c>
      <c r="B13" s="6" t="s">
        <v>663</v>
      </c>
      <c r="C13" s="6" t="s">
        <v>1363</v>
      </c>
    </row>
    <row r="14" spans="1:3" x14ac:dyDescent="0.25">
      <c r="A14" s="6">
        <v>13</v>
      </c>
      <c r="B14" s="6" t="s">
        <v>505</v>
      </c>
      <c r="C14" s="6" t="s">
        <v>1205</v>
      </c>
    </row>
    <row r="15" spans="1:3" x14ac:dyDescent="0.25">
      <c r="A15" s="6">
        <v>14</v>
      </c>
      <c r="B15" s="6" t="s">
        <v>525</v>
      </c>
      <c r="C15" s="6" t="s">
        <v>1225</v>
      </c>
    </row>
    <row r="16" spans="1:3" x14ac:dyDescent="0.25">
      <c r="A16" s="6">
        <v>15</v>
      </c>
      <c r="B16" s="6" t="s">
        <v>674</v>
      </c>
      <c r="C16" s="6" t="s">
        <v>1374</v>
      </c>
    </row>
    <row r="17" spans="1:3" x14ac:dyDescent="0.25">
      <c r="A17" s="6">
        <v>16</v>
      </c>
      <c r="B17" s="6" t="s">
        <v>583</v>
      </c>
      <c r="C17" s="6" t="s">
        <v>1283</v>
      </c>
    </row>
    <row r="18" spans="1:3" x14ac:dyDescent="0.25">
      <c r="A18" s="6">
        <v>17</v>
      </c>
      <c r="B18" s="6" t="s">
        <v>265</v>
      </c>
      <c r="C18" s="6" t="s">
        <v>965</v>
      </c>
    </row>
    <row r="19" spans="1:3" x14ac:dyDescent="0.25">
      <c r="A19" s="6">
        <v>18</v>
      </c>
      <c r="B19" s="6" t="s">
        <v>632</v>
      </c>
      <c r="C19" s="6" t="s">
        <v>1332</v>
      </c>
    </row>
    <row r="20" spans="1:3" x14ac:dyDescent="0.25">
      <c r="A20" s="6">
        <v>19</v>
      </c>
      <c r="B20" s="6" t="s">
        <v>569</v>
      </c>
      <c r="C20" s="6" t="s">
        <v>1269</v>
      </c>
    </row>
    <row r="21" spans="1:3" x14ac:dyDescent="0.25">
      <c r="A21" s="6">
        <v>20</v>
      </c>
      <c r="B21" s="6" t="s">
        <v>609</v>
      </c>
      <c r="C21" s="6" t="s">
        <v>1309</v>
      </c>
    </row>
    <row r="22" spans="1:3" x14ac:dyDescent="0.25">
      <c r="A22" s="6">
        <v>21</v>
      </c>
      <c r="B22" s="6" t="s">
        <v>5</v>
      </c>
      <c r="C22" s="6" t="s">
        <v>705</v>
      </c>
    </row>
    <row r="23" spans="1:3" x14ac:dyDescent="0.25">
      <c r="A23" s="6">
        <v>22</v>
      </c>
      <c r="B23" s="6" t="s">
        <v>688</v>
      </c>
      <c r="C23" s="6" t="s">
        <v>1388</v>
      </c>
    </row>
    <row r="24" spans="1:3" x14ac:dyDescent="0.25">
      <c r="A24" s="6">
        <v>23</v>
      </c>
      <c r="B24" s="6" t="s">
        <v>66</v>
      </c>
      <c r="C24" s="6" t="s">
        <v>766</v>
      </c>
    </row>
    <row r="25" spans="1:3" x14ac:dyDescent="0.25">
      <c r="A25" s="6">
        <v>24</v>
      </c>
      <c r="B25" s="6" t="s">
        <v>477</v>
      </c>
      <c r="C25" s="6" t="s">
        <v>1177</v>
      </c>
    </row>
    <row r="26" spans="1:3" x14ac:dyDescent="0.25">
      <c r="A26" s="6">
        <v>25</v>
      </c>
      <c r="B26" s="6" t="s">
        <v>449</v>
      </c>
      <c r="C26" s="6" t="s">
        <v>1149</v>
      </c>
    </row>
    <row r="27" spans="1:3" x14ac:dyDescent="0.25">
      <c r="A27" s="6">
        <v>26</v>
      </c>
      <c r="B27" s="6" t="s">
        <v>388</v>
      </c>
      <c r="C27" s="6" t="s">
        <v>1088</v>
      </c>
    </row>
    <row r="28" spans="1:3" x14ac:dyDescent="0.25">
      <c r="A28" s="6">
        <v>27</v>
      </c>
      <c r="B28" s="6" t="s">
        <v>150</v>
      </c>
      <c r="C28" s="6" t="s">
        <v>850</v>
      </c>
    </row>
    <row r="29" spans="1:3" x14ac:dyDescent="0.25">
      <c r="A29" s="6">
        <v>28</v>
      </c>
      <c r="B29" s="6" t="s">
        <v>201</v>
      </c>
      <c r="C29" s="6" t="s">
        <v>901</v>
      </c>
    </row>
    <row r="30" spans="1:3" x14ac:dyDescent="0.25">
      <c r="A30" s="6">
        <v>29</v>
      </c>
      <c r="B30" s="6" t="s">
        <v>554</v>
      </c>
      <c r="C30" s="6" t="s">
        <v>1254</v>
      </c>
    </row>
    <row r="31" spans="1:3" x14ac:dyDescent="0.25">
      <c r="A31" s="6">
        <v>30</v>
      </c>
      <c r="B31" s="6" t="s">
        <v>591</v>
      </c>
      <c r="C31" s="6" t="s">
        <v>1291</v>
      </c>
    </row>
    <row r="32" spans="1:3" x14ac:dyDescent="0.25">
      <c r="A32" s="6">
        <v>31</v>
      </c>
      <c r="B32" s="6" t="s">
        <v>210</v>
      </c>
      <c r="C32" s="6" t="s">
        <v>910</v>
      </c>
    </row>
    <row r="33" spans="1:3" x14ac:dyDescent="0.25">
      <c r="A33" s="6">
        <v>32</v>
      </c>
      <c r="B33" s="6" t="s">
        <v>461</v>
      </c>
      <c r="C33" s="6" t="s">
        <v>1161</v>
      </c>
    </row>
    <row r="34" spans="1:3" x14ac:dyDescent="0.25">
      <c r="A34" s="6">
        <v>33</v>
      </c>
      <c r="B34" s="6" t="s">
        <v>6</v>
      </c>
      <c r="C34" s="6" t="s">
        <v>706</v>
      </c>
    </row>
    <row r="35" spans="1:3" x14ac:dyDescent="0.25">
      <c r="A35" s="6">
        <v>34</v>
      </c>
      <c r="B35" s="6" t="s">
        <v>650</v>
      </c>
      <c r="C35" s="6" t="s">
        <v>1350</v>
      </c>
    </row>
    <row r="36" spans="1:3" x14ac:dyDescent="0.25">
      <c r="A36" s="6">
        <v>35</v>
      </c>
      <c r="B36" s="6" t="s">
        <v>119</v>
      </c>
      <c r="C36" s="6" t="s">
        <v>819</v>
      </c>
    </row>
    <row r="37" spans="1:3" x14ac:dyDescent="0.25">
      <c r="A37" s="6">
        <v>36</v>
      </c>
      <c r="B37" s="6" t="s">
        <v>378</v>
      </c>
      <c r="C37" s="6" t="s">
        <v>1078</v>
      </c>
    </row>
    <row r="38" spans="1:3" x14ac:dyDescent="0.25">
      <c r="A38" s="6">
        <v>37</v>
      </c>
      <c r="B38" s="6" t="s">
        <v>302</v>
      </c>
      <c r="C38" s="6" t="s">
        <v>1002</v>
      </c>
    </row>
    <row r="39" spans="1:3" x14ac:dyDescent="0.25">
      <c r="A39" s="6">
        <v>38</v>
      </c>
      <c r="B39" s="6" t="s">
        <v>633</v>
      </c>
      <c r="C39" s="6" t="s">
        <v>1333</v>
      </c>
    </row>
    <row r="40" spans="1:3" x14ac:dyDescent="0.25">
      <c r="A40" s="6">
        <v>39</v>
      </c>
      <c r="B40" s="6" t="s">
        <v>556</v>
      </c>
      <c r="C40" s="6" t="s">
        <v>1256</v>
      </c>
    </row>
    <row r="41" spans="1:3" x14ac:dyDescent="0.25">
      <c r="A41" s="6">
        <v>40</v>
      </c>
      <c r="B41" s="6" t="s">
        <v>219</v>
      </c>
      <c r="C41" s="6" t="s">
        <v>919</v>
      </c>
    </row>
    <row r="42" spans="1:3" x14ac:dyDescent="0.25">
      <c r="A42" s="6">
        <v>41</v>
      </c>
      <c r="B42" s="6" t="s">
        <v>357</v>
      </c>
      <c r="C42" s="6" t="s">
        <v>1057</v>
      </c>
    </row>
    <row r="43" spans="1:3" x14ac:dyDescent="0.25">
      <c r="A43" s="6">
        <v>42</v>
      </c>
      <c r="B43" s="6" t="s">
        <v>574</v>
      </c>
      <c r="C43" s="6" t="s">
        <v>1274</v>
      </c>
    </row>
    <row r="44" spans="1:3" x14ac:dyDescent="0.25">
      <c r="A44" s="6">
        <v>43</v>
      </c>
      <c r="B44" s="6" t="s">
        <v>162</v>
      </c>
      <c r="C44" s="6" t="s">
        <v>862</v>
      </c>
    </row>
    <row r="45" spans="1:3" x14ac:dyDescent="0.25">
      <c r="A45" s="6">
        <v>44</v>
      </c>
      <c r="B45" s="6" t="s">
        <v>407</v>
      </c>
      <c r="C45" s="6" t="s">
        <v>1107</v>
      </c>
    </row>
    <row r="46" spans="1:3" x14ac:dyDescent="0.25">
      <c r="A46" s="6">
        <v>45</v>
      </c>
      <c r="B46" s="6" t="s">
        <v>341</v>
      </c>
      <c r="C46" s="6" t="s">
        <v>1041</v>
      </c>
    </row>
    <row r="47" spans="1:3" x14ac:dyDescent="0.25">
      <c r="A47" s="6">
        <v>46</v>
      </c>
      <c r="B47" s="6" t="s">
        <v>680</v>
      </c>
      <c r="C47" s="6" t="s">
        <v>1380</v>
      </c>
    </row>
    <row r="48" spans="1:3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4" x14ac:dyDescent="0.25">
      <c r="A689" s="6">
        <v>688</v>
      </c>
      <c r="B689" s="6" t="s">
        <v>435</v>
      </c>
      <c r="C689" s="6" t="s">
        <v>1135</v>
      </c>
    </row>
    <row r="690" spans="1:4" x14ac:dyDescent="0.25">
      <c r="A690" s="6">
        <v>689</v>
      </c>
      <c r="B690" s="6" t="s">
        <v>251</v>
      </c>
      <c r="C690" s="6" t="s">
        <v>951</v>
      </c>
    </row>
    <row r="691" spans="1:4" x14ac:dyDescent="0.25">
      <c r="A691" s="6">
        <v>690</v>
      </c>
      <c r="B691" s="6" t="s">
        <v>121</v>
      </c>
      <c r="C691" s="6" t="s">
        <v>821</v>
      </c>
    </row>
    <row r="692" spans="1:4" x14ac:dyDescent="0.25">
      <c r="A692" s="6">
        <v>691</v>
      </c>
      <c r="B692" s="6" t="s">
        <v>190</v>
      </c>
      <c r="C692" s="6" t="s">
        <v>890</v>
      </c>
    </row>
    <row r="693" spans="1:4" x14ac:dyDescent="0.25">
      <c r="A693" s="6">
        <v>692</v>
      </c>
      <c r="B693" s="6" t="s">
        <v>72</v>
      </c>
      <c r="C693" s="6" t="s">
        <v>772</v>
      </c>
    </row>
    <row r="694" spans="1:4" x14ac:dyDescent="0.25">
      <c r="A694" s="6">
        <v>693</v>
      </c>
      <c r="B694" s="6" t="s">
        <v>213</v>
      </c>
      <c r="C694" s="6" t="s">
        <v>913</v>
      </c>
    </row>
    <row r="695" spans="1:4" x14ac:dyDescent="0.25">
      <c r="A695" s="6">
        <v>694</v>
      </c>
      <c r="B695" s="6" t="s">
        <v>383</v>
      </c>
      <c r="C695" s="6" t="s">
        <v>1083</v>
      </c>
    </row>
    <row r="696" spans="1:4" x14ac:dyDescent="0.25">
      <c r="A696" s="6">
        <v>695</v>
      </c>
      <c r="B696" s="6" t="s">
        <v>573</v>
      </c>
      <c r="C696" s="6" t="s">
        <v>1273</v>
      </c>
    </row>
    <row r="697" spans="1:4" x14ac:dyDescent="0.25">
      <c r="A697" s="6">
        <v>696</v>
      </c>
      <c r="B697" s="6" t="s">
        <v>552</v>
      </c>
      <c r="C697" s="6" t="s">
        <v>1252</v>
      </c>
    </row>
    <row r="698" spans="1:4" x14ac:dyDescent="0.25">
      <c r="A698" s="6">
        <v>697</v>
      </c>
      <c r="B698" s="6" t="s">
        <v>444</v>
      </c>
      <c r="C698" s="6" t="s">
        <v>1144</v>
      </c>
    </row>
    <row r="699" spans="1:4" x14ac:dyDescent="0.25">
      <c r="A699" s="6">
        <v>698</v>
      </c>
      <c r="B699" s="6" t="s">
        <v>191</v>
      </c>
      <c r="C699" s="6" t="s">
        <v>891</v>
      </c>
    </row>
    <row r="700" spans="1:4" x14ac:dyDescent="0.25">
      <c r="A700" s="6">
        <v>699</v>
      </c>
      <c r="B700" s="6" t="s">
        <v>179</v>
      </c>
      <c r="C700" s="6" t="s">
        <v>879</v>
      </c>
    </row>
    <row r="701" spans="1:4" x14ac:dyDescent="0.25">
      <c r="A701" s="6">
        <v>700</v>
      </c>
      <c r="B701" s="6" t="s">
        <v>345</v>
      </c>
      <c r="C701" s="6" t="s">
        <v>1045</v>
      </c>
      <c r="D701" s="6" t="s">
        <v>1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Portfolio</vt:lpstr>
      <vt:lpstr>Raw Data</vt:lpstr>
      <vt:lpstr>Sheet1</vt:lpstr>
      <vt:lpstr>stock_name</vt:lpstr>
      <vt:lpstr>ticker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2021-04-17T06:48:34Z</dcterms:modified>
</cp:coreProperties>
</file>