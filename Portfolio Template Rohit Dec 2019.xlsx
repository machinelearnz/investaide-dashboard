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240" yWindow="105" windowWidth="14805" windowHeight="8010" activeTab="2"/>
  </bookViews>
  <sheets>
    <sheet name="Portfolio" sheetId="1" r:id="rId1"/>
    <sheet name="Raw Data" sheetId="2" r:id="rId2"/>
    <sheet name="Analysis" sheetId="3" r:id="rId3"/>
    <sheet name="Sheet1" sheetId="5" r:id="rId4"/>
    <sheet name="Sheet2" sheetId="6" r:id="rId5"/>
  </sheets>
  <definedNames>
    <definedName name="_xlnm._FilterDatabase" localSheetId="1" hidden="1">'Raw Data'!$A$1:$C$701</definedName>
    <definedName name="stock_name">'Raw Data'!$B$2:$B$701</definedName>
    <definedName name="ticker">'Raw Data'!$C$2:$C$701</definedName>
  </definedNames>
  <calcPr calcId="145621"/>
  <pivotCaches>
    <pivotCache cacheId="0" r:id="rId6"/>
  </pivotCaches>
</workbook>
</file>

<file path=xl/calcChain.xml><?xml version="1.0" encoding="utf-8"?>
<calcChain xmlns="http://schemas.openxmlformats.org/spreadsheetml/2006/main">
  <c r="F13" i="3" l="1"/>
  <c r="E12" i="3" l="1"/>
  <c r="C12" i="3"/>
  <c r="C11" i="3"/>
  <c r="G191" i="5"/>
  <c r="F191" i="5"/>
  <c r="F193" i="5" s="1"/>
  <c r="P190" i="5"/>
  <c r="F190" i="5"/>
  <c r="R188" i="5"/>
  <c r="R187" i="5"/>
  <c r="R186" i="5"/>
  <c r="R185" i="5"/>
  <c r="R184" i="5"/>
  <c r="R183" i="5"/>
  <c r="R182" i="5"/>
  <c r="R181" i="5"/>
  <c r="R180" i="5"/>
  <c r="R179" i="5"/>
  <c r="R178" i="5"/>
  <c r="R177" i="5"/>
  <c r="R176" i="5"/>
  <c r="R175" i="5"/>
  <c r="R174" i="5"/>
  <c r="R173" i="5"/>
  <c r="R172" i="5"/>
  <c r="R171" i="5"/>
  <c r="R170" i="5"/>
  <c r="R169" i="5"/>
  <c r="R168" i="5"/>
  <c r="R167" i="5"/>
  <c r="R166" i="5"/>
  <c r="R165" i="5"/>
  <c r="R164" i="5"/>
  <c r="R163" i="5"/>
  <c r="R162" i="5"/>
  <c r="R161" i="5"/>
  <c r="R160" i="5"/>
  <c r="R159" i="5"/>
  <c r="R158" i="5"/>
  <c r="R157" i="5"/>
  <c r="R156" i="5"/>
  <c r="R155" i="5"/>
  <c r="R154" i="5"/>
  <c r="R153" i="5"/>
  <c r="R152" i="5"/>
  <c r="R151" i="5"/>
  <c r="R150" i="5"/>
  <c r="R149" i="5"/>
  <c r="R148" i="5"/>
  <c r="R147" i="5"/>
  <c r="R146" i="5"/>
  <c r="R145" i="5"/>
  <c r="R144" i="5"/>
  <c r="R143" i="5"/>
  <c r="R142" i="5"/>
  <c r="R141" i="5"/>
  <c r="R140" i="5"/>
  <c r="R139" i="5"/>
  <c r="R138" i="5"/>
  <c r="R137" i="5"/>
  <c r="R136" i="5"/>
  <c r="R135" i="5"/>
  <c r="R134" i="5"/>
  <c r="R133" i="5"/>
  <c r="R132" i="5"/>
  <c r="R131" i="5"/>
  <c r="R130" i="5"/>
  <c r="R129" i="5"/>
  <c r="R128" i="5"/>
  <c r="R127" i="5"/>
  <c r="R126" i="5"/>
  <c r="R125" i="5"/>
  <c r="R124" i="5"/>
  <c r="R123" i="5"/>
  <c r="R122" i="5"/>
  <c r="R121" i="5"/>
  <c r="R120" i="5"/>
  <c r="R119" i="5"/>
  <c r="R118" i="5"/>
  <c r="R117" i="5"/>
  <c r="R116" i="5"/>
  <c r="R115" i="5"/>
  <c r="R114" i="5"/>
  <c r="R113" i="5"/>
  <c r="R112" i="5"/>
  <c r="R111" i="5"/>
  <c r="R110" i="5"/>
  <c r="R109" i="5"/>
  <c r="R108" i="5"/>
  <c r="R107" i="5"/>
  <c r="R106" i="5"/>
  <c r="R105" i="5"/>
  <c r="R104" i="5"/>
  <c r="R103" i="5"/>
  <c r="R102" i="5"/>
  <c r="R101" i="5"/>
  <c r="R100" i="5"/>
  <c r="R99" i="5"/>
  <c r="R98" i="5"/>
  <c r="R97" i="5"/>
  <c r="R96" i="5"/>
  <c r="R95" i="5"/>
  <c r="R94" i="5"/>
  <c r="R93" i="5"/>
  <c r="R92" i="5"/>
  <c r="R91" i="5"/>
  <c r="R90" i="5"/>
  <c r="R89" i="5"/>
  <c r="R88" i="5"/>
  <c r="R87" i="5"/>
  <c r="R86" i="5"/>
  <c r="R85" i="5"/>
  <c r="R84" i="5"/>
  <c r="R83" i="5"/>
  <c r="R82" i="5"/>
  <c r="R81" i="5"/>
  <c r="R80" i="5"/>
  <c r="R79" i="5"/>
  <c r="R78" i="5"/>
  <c r="R77" i="5"/>
  <c r="R76" i="5"/>
  <c r="R75" i="5"/>
  <c r="R74" i="5"/>
  <c r="R73" i="5"/>
  <c r="R72" i="5"/>
  <c r="R71" i="5"/>
  <c r="R70" i="5"/>
  <c r="R69" i="5"/>
  <c r="R68" i="5"/>
  <c r="R67" i="5"/>
  <c r="R66" i="5"/>
  <c r="R65" i="5"/>
  <c r="R64" i="5"/>
  <c r="R63" i="5"/>
  <c r="R62" i="5"/>
  <c r="R61" i="5"/>
  <c r="R60" i="5"/>
  <c r="R59" i="5"/>
  <c r="R58" i="5"/>
  <c r="R57" i="5"/>
  <c r="R56" i="5"/>
  <c r="R55" i="5"/>
  <c r="R54" i="5"/>
  <c r="R53" i="5"/>
  <c r="R52" i="5"/>
  <c r="R51" i="5"/>
  <c r="R50" i="5"/>
  <c r="R49" i="5"/>
  <c r="R48" i="5"/>
  <c r="R47" i="5"/>
  <c r="R46" i="5"/>
  <c r="R45" i="5"/>
  <c r="R44" i="5"/>
  <c r="R43" i="5"/>
  <c r="R42" i="5"/>
  <c r="R41" i="5"/>
  <c r="R40" i="5"/>
  <c r="R39" i="5"/>
  <c r="R38" i="5"/>
  <c r="R37" i="5"/>
  <c r="R36" i="5"/>
  <c r="R35" i="5"/>
  <c r="R34" i="5"/>
  <c r="R33" i="5"/>
  <c r="R32" i="5"/>
  <c r="R31" i="5"/>
  <c r="R30" i="5"/>
  <c r="R29" i="5"/>
  <c r="R28" i="5"/>
  <c r="R27" i="5"/>
  <c r="R26" i="5"/>
  <c r="R25" i="5"/>
  <c r="R24" i="5"/>
  <c r="R23" i="5"/>
  <c r="R22" i="5"/>
  <c r="R21" i="5"/>
  <c r="R20" i="5"/>
  <c r="R19" i="5"/>
  <c r="R18" i="5"/>
  <c r="R17" i="5"/>
  <c r="R16" i="5"/>
  <c r="R15" i="5"/>
  <c r="R14" i="5"/>
  <c r="R13" i="5"/>
  <c r="R12" i="5"/>
  <c r="R11" i="5"/>
  <c r="R10" i="5"/>
  <c r="R9" i="5"/>
  <c r="R8" i="5"/>
  <c r="R7" i="5"/>
  <c r="R6" i="5"/>
  <c r="R5" i="5"/>
  <c r="R4" i="5"/>
  <c r="R3" i="5"/>
  <c r="R2" i="5"/>
  <c r="C10" i="3"/>
  <c r="C8" i="3"/>
  <c r="C3" i="3"/>
  <c r="P191" i="5" l="1"/>
  <c r="H191" i="5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C52" i="1" l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E26" i="1" l="1"/>
  <c r="E33" i="1"/>
  <c r="E31" i="1"/>
  <c r="E23" i="1"/>
  <c r="E15" i="1"/>
  <c r="E22" i="1"/>
  <c r="E14" i="1"/>
  <c r="E21" i="1"/>
  <c r="E20" i="1"/>
  <c r="E27" i="1"/>
  <c r="E19" i="1"/>
  <c r="E18" i="1"/>
  <c r="E25" i="1"/>
  <c r="E17" i="1"/>
  <c r="E32" i="1"/>
  <c r="E24" i="1"/>
  <c r="E16" i="1"/>
  <c r="E30" i="1"/>
  <c r="E29" i="1"/>
  <c r="E28" i="1"/>
  <c r="E12" i="1"/>
  <c r="E13" i="1"/>
  <c r="E10" i="1"/>
  <c r="E11" i="1"/>
  <c r="E8" i="1"/>
  <c r="E9" i="1"/>
  <c r="E6" i="1"/>
  <c r="E7" i="1"/>
  <c r="E5" i="1"/>
  <c r="E52" i="1"/>
  <c r="E4" i="1"/>
  <c r="E2" i="1"/>
  <c r="E3" i="1"/>
  <c r="A3" i="1"/>
  <c r="A4" i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</calcChain>
</file>

<file path=xl/sharedStrings.xml><?xml version="1.0" encoding="utf-8"?>
<sst xmlns="http://schemas.openxmlformats.org/spreadsheetml/2006/main" count="2656" uniqueCount="1658">
  <si>
    <t>Company Name</t>
  </si>
  <si>
    <t>x</t>
  </si>
  <si>
    <t>Ticker</t>
  </si>
  <si>
    <t>Sr. No</t>
  </si>
  <si>
    <t>ABB INDIA LIMITED</t>
  </si>
  <si>
    <t>AEGIS LOGISTICS LTD.</t>
  </si>
  <si>
    <t>AMARA RAJA BATTERIES LTD.</t>
  </si>
  <si>
    <t>HOUSING DEVELOPMENT FINANCE CORP.LTD.</t>
  </si>
  <si>
    <t>BOMBAY DYEING &amp; MFG.CO.LTD.</t>
  </si>
  <si>
    <t>ATUL LTD.</t>
  </si>
  <si>
    <t>BAJAJ ELECTRICALS LTD.</t>
  </si>
  <si>
    <t>BAJAJ HINDUSTHAN SUGAR LIMITED</t>
  </si>
  <si>
    <t>FORCE MOTORS LTD.</t>
  </si>
  <si>
    <t>BAJAJ FINANCE LIMITED</t>
  </si>
  <si>
    <t>BALRAMPUR CHINI MILLS LTD.</t>
  </si>
  <si>
    <t>CENTURY TEXTILES &amp; INDUSTRIES LTD.</t>
  </si>
  <si>
    <t>BANNARI AMMAN SUGARS LTD.</t>
  </si>
  <si>
    <t>BASF INDIA LTD.</t>
  </si>
  <si>
    <t>BATA INDIA LTD.</t>
  </si>
  <si>
    <t>BEML LTD.</t>
  </si>
  <si>
    <t>BHARAT ELECTRONICS LTD.</t>
  </si>
  <si>
    <t>BHANSALI ENGINEERING POLYMERS LTD.</t>
  </si>
  <si>
    <t>BLUE STAR LTD.</t>
  </si>
  <si>
    <t>CESC LTD.</t>
  </si>
  <si>
    <t>CHAMBAL FERTILISERS &amp; CHEMICALS LTD.</t>
  </si>
  <si>
    <t>EXIDE INDUSTRIES LTD.</t>
  </si>
  <si>
    <t>CIPLA LTD.</t>
  </si>
  <si>
    <t>CRISIL LTD.</t>
  </si>
  <si>
    <t>DABUR INDIA LTD.</t>
  </si>
  <si>
    <t>DALMIA BHARAT SUGAR AND INDUSTRIES LTD</t>
  </si>
  <si>
    <t>ARVIND LTD.</t>
  </si>
  <si>
    <t>BHARAT HEAVY ELECTRICALS LTD.</t>
  </si>
  <si>
    <t>HINDUSTAN PETROLEUM CORPORATION LTD.</t>
  </si>
  <si>
    <t>IFCI LTD.</t>
  </si>
  <si>
    <t>MANGALORE REFINERY &amp; PETROCHEMICALS LTD.</t>
  </si>
  <si>
    <t>CHENNAI PETROLEUM CORPORATION LTD.</t>
  </si>
  <si>
    <t>STATE BANK OF INDIA</t>
  </si>
  <si>
    <t>STEEL AUTHORITY OF INDIA LTD.</t>
  </si>
  <si>
    <t>TITAN COMPANY LIMITED</t>
  </si>
  <si>
    <t>IDBI BANK LTD.</t>
  </si>
  <si>
    <t>DHAMPUR SUGAR MILLS LTD.</t>
  </si>
  <si>
    <t>ELANTAS BECK INDIA LTD.</t>
  </si>
  <si>
    <t>DR.REDDY'S LABORATORIES LTD.</t>
  </si>
  <si>
    <t>E.I.D.-PARRY (INDIA) LTD.</t>
  </si>
  <si>
    <t>PROCTER &amp; GAMBLE HEALTH LTD</t>
  </si>
  <si>
    <t>ESAB INDIA LTD.</t>
  </si>
  <si>
    <t>EPL LTD</t>
  </si>
  <si>
    <t>FINOLEX CABLES LTD.</t>
  </si>
  <si>
    <t>UFLEX LTD.</t>
  </si>
  <si>
    <t>GODFREY PHILLIPS INDIA LTD.</t>
  </si>
  <si>
    <t>GODREJ INDUSTRIES LTD.</t>
  </si>
  <si>
    <t>KANSAI NEROLAC PAINTS LTD.</t>
  </si>
  <si>
    <t>GOODYEAR INDIA LTD.</t>
  </si>
  <si>
    <t>GHCL LTD.</t>
  </si>
  <si>
    <t>GFL LTD</t>
  </si>
  <si>
    <t>HDFC BANK LTD</t>
  </si>
  <si>
    <t>HERO MOTOCORP LTD.</t>
  </si>
  <si>
    <t>HFCL LTD</t>
  </si>
  <si>
    <t>HIMADRI SPECIALITY CHEMICAL LTD</t>
  </si>
  <si>
    <t>HINDUSTAN CONSTRUCTION CO.LTD.</t>
  </si>
  <si>
    <t>HINDUSTAN OIL EXPLORATION CO.LTD.</t>
  </si>
  <si>
    <t>HINDUSTAN ZINC LTD.</t>
  </si>
  <si>
    <t>INDIA GLYCOLS LTD.</t>
  </si>
  <si>
    <t>INFOSYS LTD.</t>
  </si>
  <si>
    <t>INGERSOLL-RAND (INDIA) LTD.</t>
  </si>
  <si>
    <t>ION EXCHANGE (INDIA) LTD.</t>
  </si>
  <si>
    <t>AGRO TECH FOODS LTD.</t>
  </si>
  <si>
    <t>JAIN IRRIGATION SYSTEMS LTD.</t>
  </si>
  <si>
    <t>JINDAL POLY FILMS LTD.</t>
  </si>
  <si>
    <t>JSW STEEL LTD.</t>
  </si>
  <si>
    <t>KAJARIA CERAMICS LTD.</t>
  </si>
  <si>
    <t>KALYANI STEELS LTD.</t>
  </si>
  <si>
    <t>WHIRLPOOL OF INDIA LTD.</t>
  </si>
  <si>
    <t>KOTAK MAHINDRA BANK LTD.</t>
  </si>
  <si>
    <t>KSB LTD</t>
  </si>
  <si>
    <t>L.G.BALAKRISHNAN &amp; BROS.LTD.</t>
  </si>
  <si>
    <t>TRENT LTD.</t>
  </si>
  <si>
    <t>LAKSHMI MACHINE WORKS LTD.</t>
  </si>
  <si>
    <t>LIC HOUSING FINANCE LTD.</t>
  </si>
  <si>
    <t>LUPIN LTD.</t>
  </si>
  <si>
    <t>THE RAMCO CEMENTS LIMITED</t>
  </si>
  <si>
    <t>MAHARASHTRA SEAMLESS LTD.</t>
  </si>
  <si>
    <t>MAHARASHTRA SCOOTERS LTD.</t>
  </si>
  <si>
    <t>MAX FINANCIAL SERVICES LTD</t>
  </si>
  <si>
    <t>SPICEJET LTD.</t>
  </si>
  <si>
    <t>MOREPEN LABORATORIES LTD.</t>
  </si>
  <si>
    <t>MRF LTD.</t>
  </si>
  <si>
    <t>HEIDELBERGCEMENT INDIA LTD.</t>
  </si>
  <si>
    <t>NCC LIMITED</t>
  </si>
  <si>
    <t>VEDANTA LIMITED</t>
  </si>
  <si>
    <t>NATIONAL PEROXIDE LTD.</t>
  </si>
  <si>
    <t>GRASIM INDUSTRIES LTD.</t>
  </si>
  <si>
    <t>PIRAMAL ENTERPRISES LTD.</t>
  </si>
  <si>
    <t>NIIT LTD.</t>
  </si>
  <si>
    <t>NIRLON LTD.</t>
  </si>
  <si>
    <t>OIL AND NATURAL GAS CORPORATION LTD</t>
  </si>
  <si>
    <t>RELIANCE INDUSTRIES LTD.</t>
  </si>
  <si>
    <t>RAYMOND LTD.</t>
  </si>
  <si>
    <t>PIDILITE INDUSTRIES LTD.</t>
  </si>
  <si>
    <t>BIRLA CORPORATION LTD.</t>
  </si>
  <si>
    <t>SURYA ROSHNI LTD.</t>
  </si>
  <si>
    <t>PRISM JOHNSON LTD</t>
  </si>
  <si>
    <t>RAIN INDUSTRIES LTD</t>
  </si>
  <si>
    <t>RALLIS INDIA LTD.</t>
  </si>
  <si>
    <t>JINDAL SAW LTD.</t>
  </si>
  <si>
    <t>JK LAKSHMI CEMENT LTD.</t>
  </si>
  <si>
    <t>SHREE CEMENT LTD.</t>
  </si>
  <si>
    <t>RELIANCE INFRASTRUCTURE LTD.</t>
  </si>
  <si>
    <t>TATA POWER CO.LTD.</t>
  </si>
  <si>
    <t>SUNDRAM FASTENERS LTD.</t>
  </si>
  <si>
    <t>SUNFLAG IRON &amp; STEEL CO.LTD.</t>
  </si>
  <si>
    <t>SUPREME PETROCHEM LTD.</t>
  </si>
  <si>
    <t>SWARAJ ENGINES LTD.</t>
  </si>
  <si>
    <t>TATA ELXSI LTD.</t>
  </si>
  <si>
    <t>ACC LTD.</t>
  </si>
  <si>
    <t>THERMAX LTD.</t>
  </si>
  <si>
    <t>THIRUMALAI CHEMICALS LTD.</t>
  </si>
  <si>
    <t>THOMAS COOK (INDIA) LTD.</t>
  </si>
  <si>
    <t>TORRENT PHARMACEUTICALS LTD.</t>
  </si>
  <si>
    <t>AMBUJA CEMENTS LTD.</t>
  </si>
  <si>
    <t>HINDALCO INDUSTRIES LTD.</t>
  </si>
  <si>
    <t>WEST COAST PAPER MILLS LTD.</t>
  </si>
  <si>
    <t>PROCTER &amp; GAMBLE HYGIENE &amp; HEALTH CARE LTD.</t>
  </si>
  <si>
    <t>FEDERAL BANK LTD.</t>
  </si>
  <si>
    <t>TATA STEEL LTD.</t>
  </si>
  <si>
    <t>SKF INDIA LTD</t>
  </si>
  <si>
    <t>ASHOK LEYLAND LTD.</t>
  </si>
  <si>
    <t>CUMMINS INDIA LTD.</t>
  </si>
  <si>
    <t>TATA COMMUNICATIONS LTD.</t>
  </si>
  <si>
    <t>ABBOTT INDIA LTD.</t>
  </si>
  <si>
    <t>BAJAJ HOLDINGS &amp; INVESTMENT LTD.</t>
  </si>
  <si>
    <t>BHARAT FORGE LTD.</t>
  </si>
  <si>
    <t>ESCORTS LTD.</t>
  </si>
  <si>
    <t>LARSEN &amp; TOUBRO LTD.</t>
  </si>
  <si>
    <t>MAHINDRA &amp; MAHINDRA LTD.</t>
  </si>
  <si>
    <t>BOSCH LTD.</t>
  </si>
  <si>
    <t>BHARAT PETROLEUM CORPORATION LTD.</t>
  </si>
  <si>
    <t>SIEMENS LTD.</t>
  </si>
  <si>
    <t>TATA MOTORS LTD.</t>
  </si>
  <si>
    <t>VOLTAS LTD.</t>
  </si>
  <si>
    <t>GREAT EASTERN SHIPPING CO.LTD.</t>
  </si>
  <si>
    <t>DEEPAK FERTILISERS &amp; PETROCHEMICALS CORPORATION LTD.</t>
  </si>
  <si>
    <t>EXCEL INDUSTRIES LTD.</t>
  </si>
  <si>
    <t>GLAXOSMITHKLINE PHARMACEUTICALS LTD.</t>
  </si>
  <si>
    <t>GUJARAT NARMADA VALLEY FERTILIZERS &amp; CHEMICALS LTD.</t>
  </si>
  <si>
    <t>NOVARTIS INDIA LTD.</t>
  </si>
  <si>
    <t>SANOFI INDIA LTD</t>
  </si>
  <si>
    <t>PFIZER LTD.</t>
  </si>
  <si>
    <t>GUJARAT STATE FERTILIZERS &amp; CHEMICALS LTD.</t>
  </si>
  <si>
    <t>HINDUSTAN UNILEVER LTD.</t>
  </si>
  <si>
    <t>AKZO NOBEL INDIA LIMITED</t>
  </si>
  <si>
    <t>NOCIL LTD.</t>
  </si>
  <si>
    <t>TATA CHEMICALS LTD.</t>
  </si>
  <si>
    <t>NESTLE INDIA LTD.</t>
  </si>
  <si>
    <t>TATA CONSUMER PRODUCTS LTD</t>
  </si>
  <si>
    <t>ASIAN PAINTS LTD.</t>
  </si>
  <si>
    <t>BRITANNIA INDUSTRIES LTD.</t>
  </si>
  <si>
    <t>COLGATE-PALMOLIVE (INDIA) LTD.</t>
  </si>
  <si>
    <t>EIH LTD.</t>
  </si>
  <si>
    <t>INDIAN HOTELS CO.LTD.</t>
  </si>
  <si>
    <t>CASTROL INDIA LTD.</t>
  </si>
  <si>
    <t>ITC LTD.</t>
  </si>
  <si>
    <t>APOLLO TYRES LTD.</t>
  </si>
  <si>
    <t>CEAT LTD.</t>
  </si>
  <si>
    <t>FINOLEX INDUSTRIES LTD.</t>
  </si>
  <si>
    <t>TATA INVESTMENT CORPORATION LTD.</t>
  </si>
  <si>
    <t>BOMBAY BURMAH TRADING CORP.LTD.</t>
  </si>
  <si>
    <t>GREAVES COTTON LTD.</t>
  </si>
  <si>
    <t>SAGAR CEMENTS LTD.</t>
  </si>
  <si>
    <t>MANGALAM CEMENT LTD.</t>
  </si>
  <si>
    <t>NCL INDUSTRIES LTD.</t>
  </si>
  <si>
    <t>BOROSIL RENEWABLES LTD</t>
  </si>
  <si>
    <t>BALKRISHNA INDUSTRIES LTD.</t>
  </si>
  <si>
    <t>SESHASAYEE PAPER &amp; BOARDS LTD.</t>
  </si>
  <si>
    <t>VARDHMAN TEXTILES LTD.</t>
  </si>
  <si>
    <t>THE PHOENIX MILLS LTD</t>
  </si>
  <si>
    <t>SWAN ENERGY LTD.</t>
  </si>
  <si>
    <t>SRF LTD.</t>
  </si>
  <si>
    <t>BHARAT BIJLEE LTD.</t>
  </si>
  <si>
    <t>ZENSAR TECHNOLOGIES LTD.</t>
  </si>
  <si>
    <t>NELCO LTD.</t>
  </si>
  <si>
    <t>INDIAN HUME PIPE CO.LTD.</t>
  </si>
  <si>
    <t>TINPLATE COMPANY OF INDIA LTD.</t>
  </si>
  <si>
    <t>CHOLAMANDALAM FINANCIAL HOLDINGS LTD</t>
  </si>
  <si>
    <t>AUTOMOTIVE AXLES LTD.</t>
  </si>
  <si>
    <t>SML ISUZU LIMITED</t>
  </si>
  <si>
    <t>EICHER MOTORS LTD.</t>
  </si>
  <si>
    <t>GMM PFAUDLER LTD.</t>
  </si>
  <si>
    <t>NESCO LTD.</t>
  </si>
  <si>
    <t>RESPONSIVE INDUSTRIES LTD.</t>
  </si>
  <si>
    <t>WESTLIFE DEVELOPMENT LTD.</t>
  </si>
  <si>
    <t>ZEE ENTERTAINMENT ENTERPRISES LTD.</t>
  </si>
  <si>
    <t>GABRIEL INDIA LTD.</t>
  </si>
  <si>
    <t>IFB INDUSTRIES LTD.</t>
  </si>
  <si>
    <t>FEDERAL-MOGUL GOETZE (INDIA) LTD.</t>
  </si>
  <si>
    <t>SCHAEFFLER INDIA LTD</t>
  </si>
  <si>
    <t>RANE HOLDINGS LTD.</t>
  </si>
  <si>
    <t>KENNAMETAL INDIA LTD.</t>
  </si>
  <si>
    <t>PRAKASH INDUSTRIES LTD.</t>
  </si>
  <si>
    <t>GRINDWELL NORTON LTD.</t>
  </si>
  <si>
    <t>BLISS GVS PHARMA LTD.</t>
  </si>
  <si>
    <t>ALEMBIC LTD.</t>
  </si>
  <si>
    <t>BAYER CROPSCIENCE LTD.</t>
  </si>
  <si>
    <t>CLARIANT CHEMICALS (INDIA) LTD.</t>
  </si>
  <si>
    <t>COROMANDEL INTERNATIONAL LTD.</t>
  </si>
  <si>
    <t>DEEPAK NITRITE LTD.</t>
  </si>
  <si>
    <t>ORIENTAL CARBON &amp; CHEMICALS LTD.</t>
  </si>
  <si>
    <t>PHILLIPS CARBON BLACK LTD.</t>
  </si>
  <si>
    <t>SUDARSHAN CHEMICAL INDUSTRIES LTD.</t>
  </si>
  <si>
    <t>UNICHEM LABORATORIES LTD.</t>
  </si>
  <si>
    <t>ALKYL AMINES CHEMICALS LTD.</t>
  </si>
  <si>
    <t>ASTRAZENECA PHARMA INDIA LTD.</t>
  </si>
  <si>
    <t>J.B.CHEMICALS &amp; PHARMACEUTICALS LTD.</t>
  </si>
  <si>
    <t>WIPRO LTD.</t>
  </si>
  <si>
    <t>DHANUKA AGRITECH LTD.</t>
  </si>
  <si>
    <t>GILLETTE INDIA LTD.</t>
  </si>
  <si>
    <t>V.I.P.INDUSTRIES LTD.</t>
  </si>
  <si>
    <t>HAWKINS COOKERS LTD.</t>
  </si>
  <si>
    <t>COSMO FILMS LTD.</t>
  </si>
  <si>
    <t>APOLLO HOSPITALS ENTERPRISE LTD.</t>
  </si>
  <si>
    <t>NAVNEET EDUCATION LIMITED</t>
  </si>
  <si>
    <t>TVS SRICHAKRA LTD.</t>
  </si>
  <si>
    <t>BERGER PAINTS INDIA LTD.</t>
  </si>
  <si>
    <t>GRAPHITE INDIA LTD.</t>
  </si>
  <si>
    <t>ITD CEMENTATION INDIA LTD.</t>
  </si>
  <si>
    <t>GARWARE TECHNICAL FIBRES LTD</t>
  </si>
  <si>
    <t>HEG LTD.</t>
  </si>
  <si>
    <t>HIL LTD.</t>
  </si>
  <si>
    <t>HUHTAMAKI INDIA LTD</t>
  </si>
  <si>
    <t>SUPREME INDUSTRIES LTD.</t>
  </si>
  <si>
    <t>VST INDUSTRIES LTD.</t>
  </si>
  <si>
    <t>CAN FIN HOMES LTD.</t>
  </si>
  <si>
    <t>SHRIRAM TRANSPORT FINANCE CO.LTD.</t>
  </si>
  <si>
    <t>CHOLAMANDALAM INVESTMENT AND FINANCE COMPANY LTD</t>
  </si>
  <si>
    <t>VAKRANGEE LIMITED</t>
  </si>
  <si>
    <t>GIC HOUSING FINANCE LTD.</t>
  </si>
  <si>
    <t>UPL LIMITED</t>
  </si>
  <si>
    <t>SUNTECK REALTY LTD.</t>
  </si>
  <si>
    <t>JAI CORP LTD.</t>
  </si>
  <si>
    <t>SEQUENT SCIENTIFIC LTD.</t>
  </si>
  <si>
    <t>AVANTI FEEDS LTD.</t>
  </si>
  <si>
    <t>ADANI ENTERPRISES LTD.</t>
  </si>
  <si>
    <t>TATA STEEL LONG PRODUCTS LTD</t>
  </si>
  <si>
    <t>NAVA BHARAT VENTURES LTD.</t>
  </si>
  <si>
    <t>CARBORUNDUM UNIVERSAL LTD.</t>
  </si>
  <si>
    <t>MMTC LTD.</t>
  </si>
  <si>
    <t>TATA METALIKS LTD.</t>
  </si>
  <si>
    <t>HINDUSTAN COPPER LTD.</t>
  </si>
  <si>
    <t>SRIKALAHASTHI PIPES LIMITED</t>
  </si>
  <si>
    <t>NLC INDIA LTD</t>
  </si>
  <si>
    <t>HIMATSINGKA SEIDE LTD.</t>
  </si>
  <si>
    <t>WELSPUN INDIA LTD.</t>
  </si>
  <si>
    <t>ASAHI INDIA GLASS LTD.</t>
  </si>
  <si>
    <t>VINDHYA TELELINKS LTD.</t>
  </si>
  <si>
    <t>USHA MARTIN LTD.</t>
  </si>
  <si>
    <t>SUBROS LTD.</t>
  </si>
  <si>
    <t>HONEYWELL AUTOMATION INDIA LTD.</t>
  </si>
  <si>
    <t>GUJARAT INDUSTRIES POWER CO.LTD.</t>
  </si>
  <si>
    <t>MOTHERSON SUMI SYSTEMS LTD.</t>
  </si>
  <si>
    <t>HAVELLS INDIA LTD.</t>
  </si>
  <si>
    <t>IGARASHI MOTORS INDIA LTD.</t>
  </si>
  <si>
    <t>SYMPHONY LIMITED</t>
  </si>
  <si>
    <t>TTK PRESTIGE LTD.</t>
  </si>
  <si>
    <t>KEI INDUSTRIES LTD.</t>
  </si>
  <si>
    <t>TASTY BITE EATABLES LTD.</t>
  </si>
  <si>
    <t>ADF FOODS LTD.</t>
  </si>
  <si>
    <t>HERITAGE FOODS LIMITED</t>
  </si>
  <si>
    <t>DFM FOODS LTD.</t>
  </si>
  <si>
    <t>CCL PRODUCTS (INDIA) LTD.</t>
  </si>
  <si>
    <t>RICO AUTO INDUSTRIES LTD.</t>
  </si>
  <si>
    <t>JAMNA AUTO INDUSTRIES LTD.</t>
  </si>
  <si>
    <t>SUNDARAM-CLAYTON LTD.</t>
  </si>
  <si>
    <t>JTEKT INDIA LTD</t>
  </si>
  <si>
    <t>RATNAMANI METALS &amp; TUBES LTD.</t>
  </si>
  <si>
    <t>VESUVIUS INDIA LTD.</t>
  </si>
  <si>
    <t>INDO COUNT INDUSTRIES LTD.</t>
  </si>
  <si>
    <t>TRIDENT LTD.</t>
  </si>
  <si>
    <t>KITEX GARMENTS LTD.</t>
  </si>
  <si>
    <t>HONDA INDIA POWER PRODUCTS LTD</t>
  </si>
  <si>
    <t>ELGI EQUIPMENTS LTD.</t>
  </si>
  <si>
    <t>TIMKEN INDIA LTD.</t>
  </si>
  <si>
    <t>PRAJ INDUSTRIES LTD.</t>
  </si>
  <si>
    <t>MAYUR UNIQUOTERS LTD.</t>
  </si>
  <si>
    <t>JMC PROJECTS (INDIA) LTD.</t>
  </si>
  <si>
    <t>GE T&amp;D INDIA LTD</t>
  </si>
  <si>
    <t>KALPATARU POWER TRANSMISSION LTD.</t>
  </si>
  <si>
    <t>SAFARI INDUSTRIES (INDIA) LTD.</t>
  </si>
  <si>
    <t>VENKY'S (INDIA) LTD.</t>
  </si>
  <si>
    <t>BALMER LAWRIE &amp; CO.LTD.</t>
  </si>
  <si>
    <t>DCM SHRIRAM LIMITED</t>
  </si>
  <si>
    <t>NILKAMAL LTD.</t>
  </si>
  <si>
    <t>3M INDIA LTD.</t>
  </si>
  <si>
    <t>JOHNSON CONTROLS-HITACHI AIR CONDITIONING INDIA LTD</t>
  </si>
  <si>
    <t>JM FINANCIAL LTD.</t>
  </si>
  <si>
    <t>RELIANCE INDUSTRIAL INFRASTRUCTURE LTD.</t>
  </si>
  <si>
    <t>LINDE INDIA LIMITED</t>
  </si>
  <si>
    <t>SHIPPING CORPORATION OF INDIA LTD.</t>
  </si>
  <si>
    <t>ITI LTD.</t>
  </si>
  <si>
    <t>DREDGING CORPORATION OF INDIA LTD.</t>
  </si>
  <si>
    <t>NATIONAL FERTILIZERS LTD.</t>
  </si>
  <si>
    <t>PI INDUSTRIES LTD</t>
  </si>
  <si>
    <t>WATERBASE LTD.</t>
  </si>
  <si>
    <t>APCOTEX INDUSTRIES LTD.</t>
  </si>
  <si>
    <t>MASTEK LTD.</t>
  </si>
  <si>
    <t>MAGMA FINCORP LTD.</t>
  </si>
  <si>
    <t>POLYPLEX CORPORATION LTD.</t>
  </si>
  <si>
    <t>IOL CHEMICALS &amp; PHARMACEUTICALS LTD.</t>
  </si>
  <si>
    <t>VINATI ORGANICS LTD.</t>
  </si>
  <si>
    <t>AARTI INDUSTRIES LTD.</t>
  </si>
  <si>
    <t>GUJARAT AMBUJA EXPORTS LTD.</t>
  </si>
  <si>
    <t>RASHTRIYA CHEMICALS &amp; FERTILIZERS LTD.</t>
  </si>
  <si>
    <t>AARTI DRUGS LTD.</t>
  </si>
  <si>
    <t>BODAL CHEMICALS LTD.</t>
  </si>
  <si>
    <t>MARKSANS PHARMA LTD.</t>
  </si>
  <si>
    <t>IPCA LABORATORIES LTD.</t>
  </si>
  <si>
    <t>NEULAND LABORATORIES LTD.</t>
  </si>
  <si>
    <t>HESTER BIOSCIENCES LTD.</t>
  </si>
  <si>
    <t>SUN PHARMACEUTICAL INDUSTRIES LTD.</t>
  </si>
  <si>
    <t>HIKAL LTD.</t>
  </si>
  <si>
    <t>CAPLIN POINT LABORATORIES LTD.</t>
  </si>
  <si>
    <t>AUROBINDO PHARMA LTD.</t>
  </si>
  <si>
    <t>NATCO PHARMA LTD.</t>
  </si>
  <si>
    <t>MPHASIS LTD.</t>
  </si>
  <si>
    <t>NMDC LTD.</t>
  </si>
  <si>
    <t>BLUE DART EXPRESS LTD.</t>
  </si>
  <si>
    <t>GREENPLY INDUSTRIES LTD.</t>
  </si>
  <si>
    <t>LA OPALA RG LTD.</t>
  </si>
  <si>
    <t>GUJARAT ALKALIES &amp; CHEMICALS LTD.</t>
  </si>
  <si>
    <t>INDIA CEMENTS LTD.</t>
  </si>
  <si>
    <t>JK TYRE &amp; INDUSTRIES LTD.</t>
  </si>
  <si>
    <t>JUBILANT PHARMOVA LTD</t>
  </si>
  <si>
    <t>PRIVI SPECIALITY CHEMICALS LTD</t>
  </si>
  <si>
    <t>SUVEN LIFE SCIENCES LTD.</t>
  </si>
  <si>
    <t>NRB BEARINGS LTD.</t>
  </si>
  <si>
    <t>RELAXO FOOTWEARS LTD.</t>
  </si>
  <si>
    <t>SHILPA MEDICARE LTD.</t>
  </si>
  <si>
    <t>KRBL LTD.</t>
  </si>
  <si>
    <t>INDIAN OIL CORPORATION LTD.</t>
  </si>
  <si>
    <t>BALAJI AMINES LTD.</t>
  </si>
  <si>
    <t>PATEL ENGINEERING LTD.</t>
  </si>
  <si>
    <t>EMAMI LTD.</t>
  </si>
  <si>
    <t>ARMAN FINANCIAL SERVICES LTD.</t>
  </si>
  <si>
    <t>NUCLEUS SOFTWARE EXPORTS LTD.</t>
  </si>
  <si>
    <t>MANAPPURAM FINANCE LTD.</t>
  </si>
  <si>
    <t>V.S.T.TILLERS TRACTORS LTD.</t>
  </si>
  <si>
    <t>ZYDUS WELLNESS LTD.</t>
  </si>
  <si>
    <t>CONTAINER CORPORATION OF INDIA LTD.</t>
  </si>
  <si>
    <t>PANACEA BIOTEC LTD.</t>
  </si>
  <si>
    <t>TAMIL NADU NEWSPRINT &amp; PAPERS LTD.</t>
  </si>
  <si>
    <t>RAJESH EXPORTS LTD.</t>
  </si>
  <si>
    <t>EVEREADY INDUSTRIES INDIA LTD.</t>
  </si>
  <si>
    <t>HATSUN AGRO PRODUCT LTD.</t>
  </si>
  <si>
    <t>SOMANY CERAMICS LTD.</t>
  </si>
  <si>
    <t>CAPRI GLOBAL CAPITAL LIMITED</t>
  </si>
  <si>
    <t>FDC LTD.</t>
  </si>
  <si>
    <t>LINCOLN PHARMACEUTICALS LTD.</t>
  </si>
  <si>
    <t>MARICO LTD.</t>
  </si>
  <si>
    <t>APOLLO PIPES LTD</t>
  </si>
  <si>
    <t>POLY MEDICURE LTD.</t>
  </si>
  <si>
    <t>BANK OF BARODA</t>
  </si>
  <si>
    <t>WELSPUN CORP LIMITED</t>
  </si>
  <si>
    <t>BANK OF INDIA</t>
  </si>
  <si>
    <t>GAIL (INDIA) LTD.</t>
  </si>
  <si>
    <t>VAIBHAV GLOBAL LTD</t>
  </si>
  <si>
    <t>JK PAPER LTD.</t>
  </si>
  <si>
    <t>SAREGAMA INDIA LTD.</t>
  </si>
  <si>
    <t>ICICI BANK LTD.</t>
  </si>
  <si>
    <t>CYIENT LIMITED</t>
  </si>
  <si>
    <t>ENGINEERS INDIA LTD.</t>
  </si>
  <si>
    <t>GUJARAT MINERAL DEVELOPMENT CORPORATION LTD.</t>
  </si>
  <si>
    <t>INDUSIND BANK LTD.</t>
  </si>
  <si>
    <t>INDIA TOURISM DEVELOPMENT CORPORATION LTD.</t>
  </si>
  <si>
    <t>JAMMU &amp; KASHMIR BANK LTD.</t>
  </si>
  <si>
    <t>CITY UNION BANK LTD.</t>
  </si>
  <si>
    <t>AXIS BANK LTD.</t>
  </si>
  <si>
    <t>SOUTH INDIAN BANK LTD.</t>
  </si>
  <si>
    <t>SONATA SOFTWARE LTD.</t>
  </si>
  <si>
    <t>NATIONAL ALUMINIUM CO.LTD.</t>
  </si>
  <si>
    <t>APAR INDUSTRIES LTD.</t>
  </si>
  <si>
    <t>ACCELYA SOLUTIONS INDIA LTD</t>
  </si>
  <si>
    <t>HCL TECHNOLOGIES LTD.</t>
  </si>
  <si>
    <t>JINDAL STEEL &amp; POWER LTD.</t>
  </si>
  <si>
    <t>GLENMARK PHARMACEUTICALS LTD.</t>
  </si>
  <si>
    <t>WOCKHARDT LTD.</t>
  </si>
  <si>
    <t>TATA COFFEE LTD.</t>
  </si>
  <si>
    <t>GE POWER INDIA LTD</t>
  </si>
  <si>
    <t>MAHINDRA LIFESPACE DEVELOPERS LTD.</t>
  </si>
  <si>
    <t>CADILA HEALTHCARE LTD.</t>
  </si>
  <si>
    <t>AJANTA PHARMA LTD.</t>
  </si>
  <si>
    <t>TVS MOTOR COMPANY LTD.</t>
  </si>
  <si>
    <t>GATI LTD.</t>
  </si>
  <si>
    <t>TRANSPORT CORPORATION OF INDIA LTD.</t>
  </si>
  <si>
    <t>TRIVENI ENGINEERING &amp; INDUSTRIES LTD.</t>
  </si>
  <si>
    <t>RAMCO INDUSTRIES LTD.</t>
  </si>
  <si>
    <t>RAMCO SYSTEMS LTD.</t>
  </si>
  <si>
    <t>STERLITE TECHNOLOGIES LTD.</t>
  </si>
  <si>
    <t>BALAJI TELEFILMS LTD.</t>
  </si>
  <si>
    <t>INDIAN OVERSEAS BANK</t>
  </si>
  <si>
    <t>TAJGVK HOTELS &amp; RESORTS LTD.</t>
  </si>
  <si>
    <t>BIRLASOFT LTD</t>
  </si>
  <si>
    <t>GODREJ CONSUMER PRODUCTS LTD.</t>
  </si>
  <si>
    <t>BF UTILITIES LTD.</t>
  </si>
  <si>
    <t>CERA SANITARYWARE LTD.</t>
  </si>
  <si>
    <t>BHARTI AIRTEL LTD.</t>
  </si>
  <si>
    <t>PUNJAB NATIONAL BANK</t>
  </si>
  <si>
    <t>ORACLE FINANCIAL SERVICES SOFTWARE LTD.</t>
  </si>
  <si>
    <t>KAMA HOLDINGS LIMITED</t>
  </si>
  <si>
    <t>APTECH LTD.</t>
  </si>
  <si>
    <t>UNION BANK OF INDIA</t>
  </si>
  <si>
    <t>UNITED BREWERIES LTD.</t>
  </si>
  <si>
    <t>GRANULES INDIA LTD.</t>
  </si>
  <si>
    <t>CANARA BANK</t>
  </si>
  <si>
    <t>DIVI'S LABORATORIES LTD.</t>
  </si>
  <si>
    <t>ASTRA MICROWAVE PRODUCTS LTD.</t>
  </si>
  <si>
    <t>RADICO KHAITAN LTD.</t>
  </si>
  <si>
    <t>SHRIRAM CITY UNION FINANCE LTD.</t>
  </si>
  <si>
    <t>MARUTI SUZUKI INDIA LTD.</t>
  </si>
  <si>
    <t>NAVIN FLUORINE INTERNATIONAL LIMITED</t>
  </si>
  <si>
    <t>UCO BANK</t>
  </si>
  <si>
    <t>JINDAL STAINLESS LTD.</t>
  </si>
  <si>
    <t>SUPRAJIT ENGINEERING LTD.</t>
  </si>
  <si>
    <t>INDRAPRASTHA GAS LTD.</t>
  </si>
  <si>
    <t>TV TODAY NETWORK LTD.</t>
  </si>
  <si>
    <t>PETRONET LNG LTD.</t>
  </si>
  <si>
    <t>BIOCON LTD.</t>
  </si>
  <si>
    <t>PTC INDIA LTD.</t>
  </si>
  <si>
    <t>BANK OF MAHARASHTRA</t>
  </si>
  <si>
    <t>RAMKRISHNA FORGINGS LTD.</t>
  </si>
  <si>
    <t>STRIDES PHARMA SCIENCE LTD</t>
  </si>
  <si>
    <t>JAIPRAKASH ASSOCIATES LTD.</t>
  </si>
  <si>
    <t>ULTRATECH CEMENT LTD.</t>
  </si>
  <si>
    <t>MINDA INDUSTRIES LTD.</t>
  </si>
  <si>
    <t>TATA CONSULTANCY SERVICES LTD.</t>
  </si>
  <si>
    <t>COFORGE LTD</t>
  </si>
  <si>
    <t>CENTURY PLYBOARDS (I) LTD.</t>
  </si>
  <si>
    <t>WELSPUN ENTERPRISES LTD</t>
  </si>
  <si>
    <t>NTPC LTD.</t>
  </si>
  <si>
    <t>DWARIKESH SUGAR INDUSTRIES LTD.</t>
  </si>
  <si>
    <t>INDOCO REMEDIES LTD.</t>
  </si>
  <si>
    <t>GATEWAY DISTRIPARKS LTD.</t>
  </si>
  <si>
    <t>IIFL FINANCE LTD</t>
  </si>
  <si>
    <t>SHOPPERS STOP LTD.</t>
  </si>
  <si>
    <t>JSW HOLDINGS LIMITED</t>
  </si>
  <si>
    <t>J.K.CEMENT LTD.</t>
  </si>
  <si>
    <t>YES BANK LTD.</t>
  </si>
  <si>
    <t>KARNATAKA BANK LTD.</t>
  </si>
  <si>
    <t>IDFC LIMITED</t>
  </si>
  <si>
    <t>SASKEN TECHNOLOGIES LTD</t>
  </si>
  <si>
    <t>SUZLON ENERGY LTD.</t>
  </si>
  <si>
    <t>AIA ENGINEERING LTD.</t>
  </si>
  <si>
    <t>PVR LTD.</t>
  </si>
  <si>
    <t>GUJARAT STATE PETRONET LTD.</t>
  </si>
  <si>
    <t>JAGRAN PRAKASHAN LTD.</t>
  </si>
  <si>
    <t>INOX LEISURE LTD.</t>
  </si>
  <si>
    <t>SADBHAV ENGINEERING LTD.</t>
  </si>
  <si>
    <t>KEC INTERNATIONAL LTD.</t>
  </si>
  <si>
    <t>MAHINDRA &amp; MAHINDRA FINANCIAL SERVICES LTD.</t>
  </si>
  <si>
    <t>SOLAR INDUSTRIES INDIA LTD.</t>
  </si>
  <si>
    <t>SUN TV NETWORK LTD.</t>
  </si>
  <si>
    <t>GODAWARI POWER &amp; ISPAT LTD.</t>
  </si>
  <si>
    <t>R SYSTEMS INTERNATIONAL LIMITED</t>
  </si>
  <si>
    <t>ALLCARGO LOGISTICS LTD.</t>
  </si>
  <si>
    <t>GMR INFRASTRUCTURE LTD.</t>
  </si>
  <si>
    <t>TECH MAHINDRA LTD.</t>
  </si>
  <si>
    <t>MAHINDRA CIE AUTOMOTIVE LIMITED</t>
  </si>
  <si>
    <t>VOLTAMP TRANSFORMERS LTD.</t>
  </si>
  <si>
    <t>ACTION CONSTRUCTION EQUIPMENT LTD.</t>
  </si>
  <si>
    <t>DCB BANK LIMITED</t>
  </si>
  <si>
    <t>INFO EDGE (INDIA) LTD.</t>
  </si>
  <si>
    <t>TORRENT POWER LTD.</t>
  </si>
  <si>
    <t>LT FOODS LTD.</t>
  </si>
  <si>
    <t>SOBHA LIMITED</t>
  </si>
  <si>
    <t>NETWORK18 MEDIA &amp; INVESTMENTS LTD.</t>
  </si>
  <si>
    <t>TV18 BROADCAST LTD.</t>
  </si>
  <si>
    <t>REDINGTON (INDIA) LTD.</t>
  </si>
  <si>
    <t>FIRSTSOURCE SOLUTIONS LTD.</t>
  </si>
  <si>
    <t>POWER FINANCE CORPORATION LTD.</t>
  </si>
  <si>
    <t>AHLUWALIA CONTRACTS (INDIA) LTD.</t>
  </si>
  <si>
    <t>INDIAN BANK</t>
  </si>
  <si>
    <t>MINDTREE LTD.</t>
  </si>
  <si>
    <t>VODAFONE IDEA LTD</t>
  </si>
  <si>
    <t>PAGE INDUSTRIES LTD.</t>
  </si>
  <si>
    <t>ASTRAL POLY TECHNIK LTD.</t>
  </si>
  <si>
    <t>INDIABULLS REAL ESTATE LTD.</t>
  </si>
  <si>
    <t>CAMLIN FINE SCIENCES LTD.</t>
  </si>
  <si>
    <t>ICRA LTD.</t>
  </si>
  <si>
    <t>DISH TV INDIA LTD.</t>
  </si>
  <si>
    <t>FORTIS HEALTHCARE LTD.</t>
  </si>
  <si>
    <t>DELTA CORP LTD.</t>
  </si>
  <si>
    <t>INSECTICIDES (INDIA) LTD.</t>
  </si>
  <si>
    <t>TIME TECHNOPLAST LTD.</t>
  </si>
  <si>
    <t>HINDUJA GLOBAL SOLUTIONS LTD.</t>
  </si>
  <si>
    <t>MEGHMANI ORGANICS LTD.</t>
  </si>
  <si>
    <t>DLF LTD.</t>
  </si>
  <si>
    <t>SUN PHARMA ADVANCED RESEARCH COMPANY LTD.</t>
  </si>
  <si>
    <t>OMAXE LTD.</t>
  </si>
  <si>
    <t>CENTRAL BANK OF INDIA</t>
  </si>
  <si>
    <t>ASIAN GRANITO INDIA LTD.</t>
  </si>
  <si>
    <t>K.P.R. MILL LIMITED</t>
  </si>
  <si>
    <t>TAKE SOLUTIONS LTD.</t>
  </si>
  <si>
    <t>MOTILAL OSWAL FINANCIAL SERVICES LTD.</t>
  </si>
  <si>
    <t>POWER GRID CORPORATION OF INDIA LTD.</t>
  </si>
  <si>
    <t>KAVERI SEED COMPANY LTD.</t>
  </si>
  <si>
    <t>PAISALO DIGITAL LTD</t>
  </si>
  <si>
    <t>RELIGARE ENTERPRISES LTD.</t>
  </si>
  <si>
    <t>ADANI PORTS AND SPECIAL ECONOMIC ZONE LTD.</t>
  </si>
  <si>
    <t>EDELWEISS FINANCIAL SERVICES LTD.</t>
  </si>
  <si>
    <t>KOLTE-PATIL DEVELOPERS LTD.</t>
  </si>
  <si>
    <t>JYOTHY LABS LTD</t>
  </si>
  <si>
    <t>ECLERX SERVICES LTD.</t>
  </si>
  <si>
    <t>BRIGADE ENTERPRISES LTD.</t>
  </si>
  <si>
    <t>RELIANCE POWER LTD.</t>
  </si>
  <si>
    <t>J.KUMAR INFRAPROJECTS LTD.</t>
  </si>
  <si>
    <t>KNR CONSTRUCTIONS LTD.</t>
  </si>
  <si>
    <t>IRB INFRASTRUCTURE DEVELOPERS LTD.</t>
  </si>
  <si>
    <t>V-GUARD INDUSTRIES LTD.</t>
  </si>
  <si>
    <t>REC LTD</t>
  </si>
  <si>
    <t>TITAGARH WAGONS LTD.</t>
  </si>
  <si>
    <t>KIRI INDUSTRIES LTD.</t>
  </si>
  <si>
    <t>BAJAJ AUTO LTD.</t>
  </si>
  <si>
    <t>BAJAJ FINSERV LTD.</t>
  </si>
  <si>
    <t>WABCO INDIA LTD.</t>
  </si>
  <si>
    <t>ISGEC HEAVY ENGINEERING LTD</t>
  </si>
  <si>
    <t>MOLD-TEK PACKAGING LIMITED</t>
  </si>
  <si>
    <t>MAHINDRA HOLIDAYS &amp; RESORTS INDIA LTD.</t>
  </si>
  <si>
    <t>ADANI POWER LTD.</t>
  </si>
  <si>
    <t>NHPC LTD.</t>
  </si>
  <si>
    <t>OIL INDIA LTD.</t>
  </si>
  <si>
    <t>DEN NETWORKS LTD</t>
  </si>
  <si>
    <t>ASTEC LIFESCIENCES LIMITED</t>
  </si>
  <si>
    <t>JSW ENERGY LTD</t>
  </si>
  <si>
    <t>GODREJ PROPERTIES LTD</t>
  </si>
  <si>
    <t>D B CORP LTD</t>
  </si>
  <si>
    <t>JUBILANT FOODWORKS LTD</t>
  </si>
  <si>
    <t>HATHWAY CABLE &amp; DATACOM LTD</t>
  </si>
  <si>
    <t>PERSISTENT SYSTEMS LTD.</t>
  </si>
  <si>
    <t>SJVN LTD</t>
  </si>
  <si>
    <t>BAJAJ CONSUMER CARE LTD</t>
  </si>
  <si>
    <t>GUJARAT PIPAVAV PORT LTD.</t>
  </si>
  <si>
    <t>VA TECH WABAG LTD.</t>
  </si>
  <si>
    <t>ASHOKA BUILDCON LTD.</t>
  </si>
  <si>
    <t>OBEROI REALTY LTD.</t>
  </si>
  <si>
    <t>PRESTIGE ESTATES PROJECTS LTD.</t>
  </si>
  <si>
    <t>COAL INDIA LTD.</t>
  </si>
  <si>
    <t>MOIL LTD.</t>
  </si>
  <si>
    <t>KIRLOSKAR OIL ENGINES LTD.</t>
  </si>
  <si>
    <t>BF INVESTMENT LTD.</t>
  </si>
  <si>
    <t>TEXMACO RAIL &amp; ENGINEERING LTD.</t>
  </si>
  <si>
    <t>PTC INDIA FINANCIAL SERVICES LTD.</t>
  </si>
  <si>
    <t>MUTHOOT FINANCE LTD.</t>
  </si>
  <si>
    <t>FUTURE CONSUMER LTD</t>
  </si>
  <si>
    <t>L&amp;T FINANCE HOLDINGS LTD.</t>
  </si>
  <si>
    <t>YAARII DIGITAL INTEGRATED SERVICES LTD</t>
  </si>
  <si>
    <t>RUPA &amp; COMPANY LTD.</t>
  </si>
  <si>
    <t>ALEMBIC PHARMACEUTICALS LTD.</t>
  </si>
  <si>
    <t>TRIVENI TURBINE LTD.</t>
  </si>
  <si>
    <t>APL APOLLO TUBES LTD.</t>
  </si>
  <si>
    <t>ORIENT REFRACTORIES LTD.</t>
  </si>
  <si>
    <t>MULTI COMMODITY EXCHANGE OF INDIA LTD.</t>
  </si>
  <si>
    <t>SCHNEIDER ELECTRIC INFRASTRUCTURE LTD.</t>
  </si>
  <si>
    <t>NBCC (INDIA) LTD</t>
  </si>
  <si>
    <t>CIGNITI TECHNOLOGIES LTD.</t>
  </si>
  <si>
    <t>CARE RATINGS LTD</t>
  </si>
  <si>
    <t>PC JEWELLER LTD.</t>
  </si>
  <si>
    <t>INDUS TOWERS LTD</t>
  </si>
  <si>
    <t>V-MART RETAIL LTD.</t>
  </si>
  <si>
    <t>REPCO HOME FINANCE LTD.</t>
  </si>
  <si>
    <t>JUST DIAL LTD.</t>
  </si>
  <si>
    <t>ORIENT CEMENT LTD</t>
  </si>
  <si>
    <t>ADITYA BIRLA FASHION AND RETAIL LTD</t>
  </si>
  <si>
    <t>INDIABULLS HOUSING FINANCE LTD</t>
  </si>
  <si>
    <t>FUTURE LIFESTYLE FASHIONS LTD</t>
  </si>
  <si>
    <t>NATH BIO-GENES (INDIA) LTD</t>
  </si>
  <si>
    <t>WONDERLA HOLIDAYS LTD</t>
  </si>
  <si>
    <t>APOLLO TRICOAT TUBES LTD</t>
  </si>
  <si>
    <t>GULF OIL LUBRICANTS INDIA LTD</t>
  </si>
  <si>
    <t>SNOWMAN LOGISTICS LTD</t>
  </si>
  <si>
    <t>SHARDA CROPCHEM LTD</t>
  </si>
  <si>
    <t>INTELLECT DESIGN ARENA LTD</t>
  </si>
  <si>
    <t>MINDA CORPORATION LTD</t>
  </si>
  <si>
    <t>VRL LOGISTICS LTD</t>
  </si>
  <si>
    <t>PNC INFRATECH LTD</t>
  </si>
  <si>
    <t>SATIA INDUSTRIES LTD</t>
  </si>
  <si>
    <t>ADANI TRANSMISSION LTD</t>
  </si>
  <si>
    <t>SYNGENE INTERNATIONAL LTD</t>
  </si>
  <si>
    <t>POWER MECH PROJECTS LTD</t>
  </si>
  <si>
    <t>GUJARAT GAS LTD</t>
  </si>
  <si>
    <t>SATIN CREDITCARE NETWORK LTD</t>
  </si>
  <si>
    <t>IDFC FIRST BANK LTD</t>
  </si>
  <si>
    <t>INTERGLOBE AVIATION LTD</t>
  </si>
  <si>
    <t>S H KELKAR AND COMPANY LTD</t>
  </si>
  <si>
    <t>ALKEM LABORATORIES LTD</t>
  </si>
  <si>
    <t>DR. LAL PATHLABS LTD</t>
  </si>
  <si>
    <t>LUX INDUSTRIES LTD</t>
  </si>
  <si>
    <t>NARAYANA HRUDAYALAYA LTD</t>
  </si>
  <si>
    <t>JINDAL STAINLESS (HISAR) LTD</t>
  </si>
  <si>
    <t>TEAMLEASE SERVICES LTD</t>
  </si>
  <si>
    <t>QUICK HEAL TECHNOLOGIES LTD</t>
  </si>
  <si>
    <t>HEALTHCARE GLOBAL ENTERPRISES LTD</t>
  </si>
  <si>
    <t>INFIBEAM AVENUES LTD</t>
  </si>
  <si>
    <t>EQUITAS HOLDINGS LTD</t>
  </si>
  <si>
    <t>THYROCARE TECHNOLOGIES LTD</t>
  </si>
  <si>
    <t>UJJIVAN FINANCIAL SERVICES LTD</t>
  </si>
  <si>
    <t>CROMPTON GREAVES CONSUMER ELECTRICALS LTD</t>
  </si>
  <si>
    <t>PILANI INVESTMENT AND INDUSTRIES CORPORATION LTD</t>
  </si>
  <si>
    <t>PARAG MILK FOODS LTD</t>
  </si>
  <si>
    <t>MAHANAGAR GAS LTD</t>
  </si>
  <si>
    <t>QUESS CORP LTD</t>
  </si>
  <si>
    <t>LARSEN &amp; TOUBRO INFOTECH LTD</t>
  </si>
  <si>
    <t>ADVANCED ENZYME TECHNOLOGIES LTD</t>
  </si>
  <si>
    <t>DILIP BUILDCON LTD</t>
  </si>
  <si>
    <t>FUTURE RETAIL LTD</t>
  </si>
  <si>
    <t>RBL BANK LTD</t>
  </si>
  <si>
    <t>L&amp;T TECHNOLOGY SERVICES LTD</t>
  </si>
  <si>
    <t>ICICI PRUDENTIAL LIFE INSURANCE COMPANY LTD</t>
  </si>
  <si>
    <t>ENDURANCE TECHNOLOGIES LTD</t>
  </si>
  <si>
    <t>PNB HOUSING FINANCE LTD</t>
  </si>
  <si>
    <t>VARUN BEVERAGES LTD</t>
  </si>
  <si>
    <t>SHEELA FOAM LTD</t>
  </si>
  <si>
    <t>TCI EXPRESS LTD</t>
  </si>
  <si>
    <t>LAURUS LABS LTD</t>
  </si>
  <si>
    <t>PRICOL LTD</t>
  </si>
  <si>
    <t>AVENUE SUPERMARTS LTD</t>
  </si>
  <si>
    <t>SHANKARA BUILDING PRODUCTS LTD</t>
  </si>
  <si>
    <t>HOUSING &amp; URBAN DEVELOPMENT CORPORATION LTD</t>
  </si>
  <si>
    <t>PSP PROJECTS LTD</t>
  </si>
  <si>
    <t>STAR CEMENT LTD</t>
  </si>
  <si>
    <t>TEJAS NETWORKS LTD</t>
  </si>
  <si>
    <t>ERIS LIFESCIENCES LTD</t>
  </si>
  <si>
    <t>AU SMALL FINANCE BANK LTD</t>
  </si>
  <si>
    <t>SIS LTD</t>
  </si>
  <si>
    <t>COCHIN SHIPYARD LTD</t>
  </si>
  <si>
    <t>ADITYA BIRLA CAPITAL LTD</t>
  </si>
  <si>
    <t>APEX FROZEN FOODS LTD</t>
  </si>
  <si>
    <t>DIXON TECHNOLOGIES (INDIA) LTD</t>
  </si>
  <si>
    <t>DISHMAN CARBOGEN AMCIS LTD</t>
  </si>
  <si>
    <t>ICICI LOMBARD GENERAL INSURANCE COMPANY LTD</t>
  </si>
  <si>
    <t>SBI LIFE INSURANCE COMPANY LTD</t>
  </si>
  <si>
    <t>PRATAAP SNACKS LTD</t>
  </si>
  <si>
    <t>GODREJ AGROVET LTD</t>
  </si>
  <si>
    <t>MAS FINANCIAL SERVICES LTD</t>
  </si>
  <si>
    <t>INDIAN ENERGY EXCHANGE LTD</t>
  </si>
  <si>
    <t>GENERAL INSURANCE CORPORATION OF INDIA</t>
  </si>
  <si>
    <t>TUBE INVESTMENTS OF INDIA LTD</t>
  </si>
  <si>
    <t>NIPPON LIFE INDIA ASSET MANAGEMENT LTD</t>
  </si>
  <si>
    <t>MAHINDRA LOGISTICS LTD</t>
  </si>
  <si>
    <t>THE NEW INDIA ASSURANCE COMPANY LTD</t>
  </si>
  <si>
    <t>HDFC LIFE INSURANCE COMPANY LTD</t>
  </si>
  <si>
    <t>FUTURE SUPPLY CHAIN SOLUTIONS LTD</t>
  </si>
  <si>
    <t>NEWGEN SOFTWARE TECHNOLOGIES LTD</t>
  </si>
  <si>
    <t>AMBER ENTERPRISES INDIA LTD</t>
  </si>
  <si>
    <t>GALAXY SURFACTANTS LTD</t>
  </si>
  <si>
    <t>ASTER DM HEALTHCARE LTD</t>
  </si>
  <si>
    <t>H.G. INFRA ENGINEERING LTD</t>
  </si>
  <si>
    <t>BHARAT DYNAMICS LTD</t>
  </si>
  <si>
    <t>BANDHAN BANK LTD</t>
  </si>
  <si>
    <t>HINDUSTAN AERONAUTICS LTD</t>
  </si>
  <si>
    <t>ICICI SECURITIES LTD</t>
  </si>
  <si>
    <t>MISHRA DHATU NIGAM LTD</t>
  </si>
  <si>
    <t>LEMON TREE HOTELS LTD</t>
  </si>
  <si>
    <t>ORIENT ELECTRIC LTD</t>
  </si>
  <si>
    <t>INDOSTAR CAPITAL FINANCE LTD</t>
  </si>
  <si>
    <t>DOLLAR INDUSTRIES LTD</t>
  </si>
  <si>
    <t>ADANI GREEN ENERGY LTD</t>
  </si>
  <si>
    <t>SOLARA ACTIVE PHARMA SCIENCES LTD</t>
  </si>
  <si>
    <t>RITES LTD</t>
  </si>
  <si>
    <t>FINE ORGANIC INDUSTRIES LTD</t>
  </si>
  <si>
    <t>VARROC ENGINEERING LTD</t>
  </si>
  <si>
    <t>TCNS CLOTHING CO. LTD</t>
  </si>
  <si>
    <t>HDFC ASSET MANAGEMENT COMPANY LTD</t>
  </si>
  <si>
    <t>CREDITACCESS GRAMEEN LTD</t>
  </si>
  <si>
    <t>IRCON INTERNATIONAL LTD</t>
  </si>
  <si>
    <t>AAVAS FINANCIERS LTD</t>
  </si>
  <si>
    <t>GARDEN REACH SHIPBUILDERS &amp; ENGINEERS LTD</t>
  </si>
  <si>
    <t>ADANI TOTAL GAS LTD</t>
  </si>
  <si>
    <t>TECHNO ELECTRIC &amp; ENGINEERING COMPANY LTD</t>
  </si>
  <si>
    <t>DALMIA BHARAT LTD</t>
  </si>
  <si>
    <t>RPSG VENTURES LTD</t>
  </si>
  <si>
    <t>SPENCERS RETAIL LTD</t>
  </si>
  <si>
    <t>CHALET HOTELS LTD</t>
  </si>
  <si>
    <t>ARVIND FASHIONS LTD</t>
  </si>
  <si>
    <t>MSTC LTD</t>
  </si>
  <si>
    <t>RAIL VIKAS NIGAM LTD</t>
  </si>
  <si>
    <t>METROPOLIS HEALTHCARE LTD</t>
  </si>
  <si>
    <t>KPIT TECHNOLOGIES LTD</t>
  </si>
  <si>
    <t>POLYCAB INDIA LTD</t>
  </si>
  <si>
    <t>NEOGEN CHEMICALS LTD</t>
  </si>
  <si>
    <t>INDIAMART INTERMESH LTD</t>
  </si>
  <si>
    <t>AFFLE (INDIA) LTD</t>
  </si>
  <si>
    <t>SPANDANA SPHOORTY FINANCIAL LTD</t>
  </si>
  <si>
    <t>STERLING AND WILSON SOLAR LTD</t>
  </si>
  <si>
    <t>IIFL WEALTH MANAGEMENT LTD</t>
  </si>
  <si>
    <t>IIFL SECURITIES LTD</t>
  </si>
  <si>
    <t>GUJARAT FLUOROCHEMICALS LTD</t>
  </si>
  <si>
    <t>INDIAN RAILWAY CATERING AND TOURISM CORPORATION LTD</t>
  </si>
  <si>
    <t>CSB BANK LTD</t>
  </si>
  <si>
    <t>UJJIVAN SMALL FINANCE BANK LTD</t>
  </si>
  <si>
    <t>SOMANY HOME INNOVATION LTD</t>
  </si>
  <si>
    <t>PRINCE PIPES AND FITTINGS LTD</t>
  </si>
  <si>
    <t>SUMITOMO CHEMICAL INDIA LTD</t>
  </si>
  <si>
    <t>SUVEN PHARMACEUTICALS LTD</t>
  </si>
  <si>
    <t>SBI CARDS AND PAYMENT SERVICES LTD</t>
  </si>
  <si>
    <t>ABB POWER PRODUCTS AND SYSTEMS INDIA LTD</t>
  </si>
  <si>
    <t>TATA MOTORS LTD - DVR</t>
  </si>
  <si>
    <t>ABB.NS</t>
  </si>
  <si>
    <t>AEGISLOG.NS</t>
  </si>
  <si>
    <t>AMARAJABAT.NS</t>
  </si>
  <si>
    <t>HDFC.NS</t>
  </si>
  <si>
    <t>BOMDYEING.NS</t>
  </si>
  <si>
    <t>ATUL.NS</t>
  </si>
  <si>
    <t>BAJAJELEC.NS</t>
  </si>
  <si>
    <t>BAJAJHIND.NS</t>
  </si>
  <si>
    <t>FORCEMOT.NS</t>
  </si>
  <si>
    <t>BAJFINANCE.NS</t>
  </si>
  <si>
    <t>BALRAMCHIN.NS</t>
  </si>
  <si>
    <t>CENTURYTEX.NS</t>
  </si>
  <si>
    <t>BANARISUG.NS</t>
  </si>
  <si>
    <t>BASF.NS</t>
  </si>
  <si>
    <t>BATAINDIA.NS</t>
  </si>
  <si>
    <t>BEML.NS</t>
  </si>
  <si>
    <t>BEL.NS</t>
  </si>
  <si>
    <t>BEPL.NS</t>
  </si>
  <si>
    <t>BLUESTARCO.NS</t>
  </si>
  <si>
    <t>CESC.NS</t>
  </si>
  <si>
    <t>CHAMBLFERT.NS</t>
  </si>
  <si>
    <t>EXIDEIND.NS</t>
  </si>
  <si>
    <t>CIPLA.NS</t>
  </si>
  <si>
    <t>CRISIL.NS</t>
  </si>
  <si>
    <t>DABUR.NS</t>
  </si>
  <si>
    <t>DALMIASUG.NS</t>
  </si>
  <si>
    <t>ARVIND.NS</t>
  </si>
  <si>
    <t>BHEL.NS</t>
  </si>
  <si>
    <t>HINDPETRO*.NS</t>
  </si>
  <si>
    <t>IFCI.NS</t>
  </si>
  <si>
    <t>MRPL.NS</t>
  </si>
  <si>
    <t>CHENNPETRO.NS</t>
  </si>
  <si>
    <t>SBIN.NS</t>
  </si>
  <si>
    <t>SAIL.NS</t>
  </si>
  <si>
    <t>TITAN.NS</t>
  </si>
  <si>
    <t>IDBI.NS</t>
  </si>
  <si>
    <t>DHAMPURSUG.NS</t>
  </si>
  <si>
    <t>ELANTAS.NS</t>
  </si>
  <si>
    <t>DRREDDY.NS</t>
  </si>
  <si>
    <t>EIDPARRY.NS</t>
  </si>
  <si>
    <t>PGHL.NS</t>
  </si>
  <si>
    <t>ESABINDIA.NS</t>
  </si>
  <si>
    <t>EPL.NS</t>
  </si>
  <si>
    <t>FINCABLES.NS</t>
  </si>
  <si>
    <t>UFLEX.NS</t>
  </si>
  <si>
    <t>GODFRYPHLP.NS</t>
  </si>
  <si>
    <t>GODREJIND.NS</t>
  </si>
  <si>
    <t>KANSAINER.NS</t>
  </si>
  <si>
    <t>GOODYEAR.NS</t>
  </si>
  <si>
    <t>GHCL.NS</t>
  </si>
  <si>
    <t>GFLLIMITED.NS</t>
  </si>
  <si>
    <t>HDFCBANK.NS</t>
  </si>
  <si>
    <t>HEROMOTOCO.NS</t>
  </si>
  <si>
    <t>HFCL.NS</t>
  </si>
  <si>
    <t>HSCL.NS</t>
  </si>
  <si>
    <t>HCC.NS</t>
  </si>
  <si>
    <t>HINDOILEXP.NS</t>
  </si>
  <si>
    <t>HINDZINC.NS</t>
  </si>
  <si>
    <t>INDIAGLYCO.NS</t>
  </si>
  <si>
    <t>INFY.NS</t>
  </si>
  <si>
    <t>INGERRAND.NS</t>
  </si>
  <si>
    <t>IONEXCHANG.NS</t>
  </si>
  <si>
    <t>ATFL.NS</t>
  </si>
  <si>
    <t>JISLJALEQS.NS</t>
  </si>
  <si>
    <t>JINDALPOLY.NS</t>
  </si>
  <si>
    <t>JSWSTEEL.NS</t>
  </si>
  <si>
    <t>KAJARIACER.NS</t>
  </si>
  <si>
    <t>KSL.NS</t>
  </si>
  <si>
    <t>WHIRLPOOL.NS</t>
  </si>
  <si>
    <t>KOTAKBANK.NS</t>
  </si>
  <si>
    <t>KSB.NS</t>
  </si>
  <si>
    <t>LGBBROSLTD.NS</t>
  </si>
  <si>
    <t>TRENT.NS</t>
  </si>
  <si>
    <t>LAXMIMACH.NS</t>
  </si>
  <si>
    <t>LICHSGFIN.NS</t>
  </si>
  <si>
    <t>LUPIN.NS</t>
  </si>
  <si>
    <t>RAMCOCEM.NS</t>
  </si>
  <si>
    <t>MAHSEAMLES.NS</t>
  </si>
  <si>
    <t>MAHSCOOTER.NS</t>
  </si>
  <si>
    <t>MFSL.NS</t>
  </si>
  <si>
    <t>SPICEJET.NS</t>
  </si>
  <si>
    <t>MOREPENLAB.NS</t>
  </si>
  <si>
    <t>MRF.NS</t>
  </si>
  <si>
    <t>HEIDELBERG.NS</t>
  </si>
  <si>
    <t>NCC.NS</t>
  </si>
  <si>
    <t>VEDL.NS</t>
  </si>
  <si>
    <t>NATPEROX.NS</t>
  </si>
  <si>
    <t>GRASIM.NS</t>
  </si>
  <si>
    <t>PEL.NS</t>
  </si>
  <si>
    <t>NIITLTD.NS</t>
  </si>
  <si>
    <t>NIRLON.NS</t>
  </si>
  <si>
    <t>ONGC.NS</t>
  </si>
  <si>
    <t>RELIANCE.NS</t>
  </si>
  <si>
    <t>RAYMOND.NS</t>
  </si>
  <si>
    <t>PIDILITIND.NS</t>
  </si>
  <si>
    <t>BIRLACORPN.NS</t>
  </si>
  <si>
    <t>SURYAROSNI.NS</t>
  </si>
  <si>
    <t>PRSMJOHNSN.NS</t>
  </si>
  <si>
    <t>RAIN.NS</t>
  </si>
  <si>
    <t>RALLIS.NS</t>
  </si>
  <si>
    <t>JINDALSAW.NS</t>
  </si>
  <si>
    <t>JKLAKSHMI.NS</t>
  </si>
  <si>
    <t>SHREECEM.NS</t>
  </si>
  <si>
    <t>RELINFRA.NS</t>
  </si>
  <si>
    <t>TATAPOWER.NS</t>
  </si>
  <si>
    <t>SUNDRMFAST.NS</t>
  </si>
  <si>
    <t>SUNFLAG.NS</t>
  </si>
  <si>
    <t>SUPPETRO.NS</t>
  </si>
  <si>
    <t>SWARAJENG.NS</t>
  </si>
  <si>
    <t>TATAELXSI.NS</t>
  </si>
  <si>
    <t>ACC.NS</t>
  </si>
  <si>
    <t>THERMAX.NS</t>
  </si>
  <si>
    <t>TIRUMALCHM.NS</t>
  </si>
  <si>
    <t>THOMASCOOK.NS</t>
  </si>
  <si>
    <t>TORNTPHARM.NS</t>
  </si>
  <si>
    <t>AMBUJACEM.NS</t>
  </si>
  <si>
    <t>HINDALCO.NS</t>
  </si>
  <si>
    <t>WSTCSTPAPR.NS</t>
  </si>
  <si>
    <t>PGHH.NS</t>
  </si>
  <si>
    <t>FEDERALBNK.NS</t>
  </si>
  <si>
    <t>TATASTEEL.NS</t>
  </si>
  <si>
    <t>SKFINDIA.NS</t>
  </si>
  <si>
    <t>ASHOKLEY.NS</t>
  </si>
  <si>
    <t>CUMMINSIND.NS</t>
  </si>
  <si>
    <t>TATACOMM.NS</t>
  </si>
  <si>
    <t>ABBOTINDIA.NS</t>
  </si>
  <si>
    <t>BAJAJHLDNG.NS</t>
  </si>
  <si>
    <t>BHARATFORG.NS</t>
  </si>
  <si>
    <t>ESCORTS.NS</t>
  </si>
  <si>
    <t>LT.NS</t>
  </si>
  <si>
    <t>M&amp;M.NS</t>
  </si>
  <si>
    <t>BOSCHLTD.NS</t>
  </si>
  <si>
    <t>BPCL.NS</t>
  </si>
  <si>
    <t>SIEMENS.NS</t>
  </si>
  <si>
    <t>TATAMOTORS.NS</t>
  </si>
  <si>
    <t>VOLTAS.NS</t>
  </si>
  <si>
    <t>GESHIP.NS</t>
  </si>
  <si>
    <t>DEEPAKFERT.NS</t>
  </si>
  <si>
    <t>EXCELINDUS.NS</t>
  </si>
  <si>
    <t>GLAXO.NS</t>
  </si>
  <si>
    <t>GNFC.NS</t>
  </si>
  <si>
    <t>NOVARTIND.NS</t>
  </si>
  <si>
    <t>SANOFI.NS</t>
  </si>
  <si>
    <t>PFIZER.NS</t>
  </si>
  <si>
    <t>GSFC.NS</t>
  </si>
  <si>
    <t>HINDUNILVR.NS</t>
  </si>
  <si>
    <t>AKZOINDIA.NS</t>
  </si>
  <si>
    <t>NOCIL.NS</t>
  </si>
  <si>
    <t>TATACHEM.NS</t>
  </si>
  <si>
    <t>NESTLEIND.NS</t>
  </si>
  <si>
    <t>TATACONSUM.NS</t>
  </si>
  <si>
    <t>ASIANPAINT.NS</t>
  </si>
  <si>
    <t>BRITANNIA.NS</t>
  </si>
  <si>
    <t>COLPAL.NS</t>
  </si>
  <si>
    <t>EIHOTEL.NS</t>
  </si>
  <si>
    <t>INDHOTEL.NS</t>
  </si>
  <si>
    <t>CASTROLIND.NS</t>
  </si>
  <si>
    <t>ITC.NS</t>
  </si>
  <si>
    <t>APOLLOTYRE.NS</t>
  </si>
  <si>
    <t>CEATLTD.NS</t>
  </si>
  <si>
    <t>FINOLEXIND.NS</t>
  </si>
  <si>
    <t>TATAINVEST.NS</t>
  </si>
  <si>
    <t>BBTC.NS</t>
  </si>
  <si>
    <t>GREAVESCOT.NS</t>
  </si>
  <si>
    <t>SAGCEM.NS</t>
  </si>
  <si>
    <t>MANGLMCEM.NS</t>
  </si>
  <si>
    <t>NCLIND.NS</t>
  </si>
  <si>
    <t>BORORENEW.NS</t>
  </si>
  <si>
    <t>BALKRISIND.NS</t>
  </si>
  <si>
    <t>SESHAPAPER.NS</t>
  </si>
  <si>
    <t>VTL.NS</t>
  </si>
  <si>
    <t>PHOENIXLTD.NS</t>
  </si>
  <si>
    <t>SWANENERGY.NS</t>
  </si>
  <si>
    <t>SRF.NS</t>
  </si>
  <si>
    <t>BBL.NS</t>
  </si>
  <si>
    <t>ZENSARTECH.NS</t>
  </si>
  <si>
    <t>NELCO.NS</t>
  </si>
  <si>
    <t>INDIANHUME.NS</t>
  </si>
  <si>
    <t>TINPLATE.NS</t>
  </si>
  <si>
    <t>CHOLAHLDNG.NS</t>
  </si>
  <si>
    <t>AUTOAXLES.NS</t>
  </si>
  <si>
    <t>SMLISUZU.NS</t>
  </si>
  <si>
    <t>EICHERMOT.NS</t>
  </si>
  <si>
    <t>GMM.NS</t>
  </si>
  <si>
    <t>NESCO.NS</t>
  </si>
  <si>
    <t>RESPONIND.NS</t>
  </si>
  <si>
    <t>WESTLIFE.NS</t>
  </si>
  <si>
    <t>ZEEL.NS</t>
  </si>
  <si>
    <t>GABRIEL.NS</t>
  </si>
  <si>
    <t>IFBIND.NS</t>
  </si>
  <si>
    <t>FMGOETZE.NS</t>
  </si>
  <si>
    <t>SCHAEFFLER.NS</t>
  </si>
  <si>
    <t>RANEHOLDIN.NS</t>
  </si>
  <si>
    <t>KENNAMET.NS</t>
  </si>
  <si>
    <t>PRAKASH.NS</t>
  </si>
  <si>
    <t>GRINDWELL.NS</t>
  </si>
  <si>
    <t>BLISSGVS.NS</t>
  </si>
  <si>
    <t>ALEMBICLTD.NS</t>
  </si>
  <si>
    <t>BAYERCROP.NS</t>
  </si>
  <si>
    <t>CLNINDIA.NS</t>
  </si>
  <si>
    <t>COROMANDEL.NS</t>
  </si>
  <si>
    <t>DEEPAKNI.NS</t>
  </si>
  <si>
    <t>ORIENTCQ.NS</t>
  </si>
  <si>
    <t>PHILIPCARB.NS</t>
  </si>
  <si>
    <t>SUDARSCHEM.NS</t>
  </si>
  <si>
    <t>UNICHEMLAB.NS</t>
  </si>
  <si>
    <t>ALKYLAMINE.NS</t>
  </si>
  <si>
    <t>ASTRAZEN.NS</t>
  </si>
  <si>
    <t>JBCHEPHARM.NS</t>
  </si>
  <si>
    <t>WIPRO.NS</t>
  </si>
  <si>
    <t>DHANUKA.NS</t>
  </si>
  <si>
    <t>GILLETTE.NS</t>
  </si>
  <si>
    <t>VIPIND.NS</t>
  </si>
  <si>
    <t>HAWKINCOOK.NS</t>
  </si>
  <si>
    <t>COSMOFILMS.NS</t>
  </si>
  <si>
    <t>APOLLOHOSP.NS</t>
  </si>
  <si>
    <t>NAVNETEDUL.NS</t>
  </si>
  <si>
    <t>TVSSRICHAK.NS</t>
  </si>
  <si>
    <t>BERGEPAINT.NS</t>
  </si>
  <si>
    <t>GRAPHITE.NS</t>
  </si>
  <si>
    <t>ITDCEM.NS</t>
  </si>
  <si>
    <t>GARFIBRES.NS</t>
  </si>
  <si>
    <t>HEG.NS</t>
  </si>
  <si>
    <t>HIL.NS</t>
  </si>
  <si>
    <t>HUHTAMAKI.NS</t>
  </si>
  <si>
    <t>SUPREMEIND.NS</t>
  </si>
  <si>
    <t>VSTIND.NS</t>
  </si>
  <si>
    <t>CANFINHOME.NS</t>
  </si>
  <si>
    <t>SRTRANSFIN.NS</t>
  </si>
  <si>
    <t>CHOLAFIN.NS</t>
  </si>
  <si>
    <t>VAKRANGEE.NS</t>
  </si>
  <si>
    <t>GICHSGFIN.NS</t>
  </si>
  <si>
    <t>UPL.NS</t>
  </si>
  <si>
    <t>SUNTECK.NS</t>
  </si>
  <si>
    <t>JAICORPLTD.NS</t>
  </si>
  <si>
    <t>SEQUENT.NS</t>
  </si>
  <si>
    <t>AVANTI.NS</t>
  </si>
  <si>
    <t>ADANIENT.NS</t>
  </si>
  <si>
    <t>TATASTLLP.NS</t>
  </si>
  <si>
    <t>NBVENTURES*.NS</t>
  </si>
  <si>
    <t>CARBORUNIV.NS</t>
  </si>
  <si>
    <t>MMTC.NS</t>
  </si>
  <si>
    <t>TATAMETALI.NS</t>
  </si>
  <si>
    <t>HINDCOPPER.NS</t>
  </si>
  <si>
    <t>SRIPIPES.NS</t>
  </si>
  <si>
    <t>NLCINDIA.NS</t>
  </si>
  <si>
    <t>HIMATSEIDE.NS</t>
  </si>
  <si>
    <t>WELSPUNIND.NS</t>
  </si>
  <si>
    <t>ASAHIINDIA.NS</t>
  </si>
  <si>
    <t>VINDHYATEL.NS</t>
  </si>
  <si>
    <t>USHAMART.NS</t>
  </si>
  <si>
    <t>SUBROS.NS</t>
  </si>
  <si>
    <t>HONAUT.NS</t>
  </si>
  <si>
    <t>GIPCL.NS</t>
  </si>
  <si>
    <t>MOTHERSUMI.NS</t>
  </si>
  <si>
    <t>HAVELLS.NS</t>
  </si>
  <si>
    <t>IGARASHI.NS</t>
  </si>
  <si>
    <t>SYMPHONY.NS</t>
  </si>
  <si>
    <t>TTKPRESTIG.NS</t>
  </si>
  <si>
    <t>KEI.NS</t>
  </si>
  <si>
    <t>TASTYBIT.NS</t>
  </si>
  <si>
    <t>ADFFOODS.NS</t>
  </si>
  <si>
    <t>HERITGFOOD.NS</t>
  </si>
  <si>
    <t>DFM.NS</t>
  </si>
  <si>
    <t>CCL.NS</t>
  </si>
  <si>
    <t>RICOAUTO.NS</t>
  </si>
  <si>
    <t>JAMNAAUTO.NS</t>
  </si>
  <si>
    <t>SUNCLAYLTD.NS</t>
  </si>
  <si>
    <t>JTEKTINDIA.NS</t>
  </si>
  <si>
    <t>RATNAMANI.NS</t>
  </si>
  <si>
    <t>VESUVIUS.NS</t>
  </si>
  <si>
    <t>ICIL.NS</t>
  </si>
  <si>
    <t>TRIDENT.NS</t>
  </si>
  <si>
    <t>KITEX.NS</t>
  </si>
  <si>
    <t>HONDAPOWER.NS</t>
  </si>
  <si>
    <t>ELGIEQUIP.NS</t>
  </si>
  <si>
    <t>TIMKEN.NS</t>
  </si>
  <si>
    <t>PRAJIND.NS</t>
  </si>
  <si>
    <t>MAYURUNIQ.NS</t>
  </si>
  <si>
    <t>JMCPROJECT.NS</t>
  </si>
  <si>
    <t>GET&amp;D.NS</t>
  </si>
  <si>
    <t>KALPATPOWR.NS</t>
  </si>
  <si>
    <t>SAFARIND.NS</t>
  </si>
  <si>
    <t>VENKYS.NS</t>
  </si>
  <si>
    <t>BALMLAWRIE.NS</t>
  </si>
  <si>
    <t>DCMSHRIRAM.NS</t>
  </si>
  <si>
    <t>NILKAMAL.NS</t>
  </si>
  <si>
    <t>3MINDIA.NS</t>
  </si>
  <si>
    <t>JCHAC.NS</t>
  </si>
  <si>
    <t>JMFINANCIL.NS</t>
  </si>
  <si>
    <t>RIIL.NS</t>
  </si>
  <si>
    <t>LINDEINDIA.NS</t>
  </si>
  <si>
    <t>SCI.NS</t>
  </si>
  <si>
    <t>ITI.NS</t>
  </si>
  <si>
    <t>DREDGECORP.NS</t>
  </si>
  <si>
    <t>NFL.NS</t>
  </si>
  <si>
    <t>PIIND.NS</t>
  </si>
  <si>
    <t>WATERBASE.NS</t>
  </si>
  <si>
    <t>APCOTEXIND.NS</t>
  </si>
  <si>
    <t>MASTEK.NS</t>
  </si>
  <si>
    <t>MAGMA.NS</t>
  </si>
  <si>
    <t>POLYPLEX.NS</t>
  </si>
  <si>
    <t>IOLCP.NS</t>
  </si>
  <si>
    <t>VINATIORGA.NS</t>
  </si>
  <si>
    <t>AARTIIND.NS</t>
  </si>
  <si>
    <t>GAEL.NS</t>
  </si>
  <si>
    <t>RCF.NS</t>
  </si>
  <si>
    <t>AARTIDRUGS.NS</t>
  </si>
  <si>
    <t>BODALCHEM.NS</t>
  </si>
  <si>
    <t>MARKSANS.NS</t>
  </si>
  <si>
    <t>IPCALAB.NS</t>
  </si>
  <si>
    <t>NEULANDLAB.NS</t>
  </si>
  <si>
    <t>HESTERBIO.NS</t>
  </si>
  <si>
    <t>SUNPHARMA.NS</t>
  </si>
  <si>
    <t>HIKAL.NS</t>
  </si>
  <si>
    <t>CAPPL.NS</t>
  </si>
  <si>
    <t>AUROPHARMA.NS</t>
  </si>
  <si>
    <t>NATCOPHARM.NS</t>
  </si>
  <si>
    <t>MPHASIS.NS</t>
  </si>
  <si>
    <t>NMDC.NS</t>
  </si>
  <si>
    <t>BLUEDART.NS</t>
  </si>
  <si>
    <t>GREENPLY.NS</t>
  </si>
  <si>
    <t>LAOPALA.NS</t>
  </si>
  <si>
    <t>GUJALKALI.NS</t>
  </si>
  <si>
    <t>INDIACEM.NS</t>
  </si>
  <si>
    <t>JKTYRE.NS</t>
  </si>
  <si>
    <t>JUBLPHARMA.NS</t>
  </si>
  <si>
    <t>PRIVISCL.NS</t>
  </si>
  <si>
    <t>SUVEN.NS</t>
  </si>
  <si>
    <t>NRBBEARING.NS</t>
  </si>
  <si>
    <t>RELAXO.NS</t>
  </si>
  <si>
    <t>SHILPAMED.NS</t>
  </si>
  <si>
    <t>KRBL.NS</t>
  </si>
  <si>
    <t>IOC.NS</t>
  </si>
  <si>
    <t>BALAMINES.NS</t>
  </si>
  <si>
    <t>PATELENG.NS</t>
  </si>
  <si>
    <t>EMAMILTD.NS</t>
  </si>
  <si>
    <t>ARMANFIN.NS</t>
  </si>
  <si>
    <t>NUCLEUS.NS</t>
  </si>
  <si>
    <t>MANAPPURAM.NS</t>
  </si>
  <si>
    <t>VSTTILLERS.NS</t>
  </si>
  <si>
    <t>ZYDUSWELL.NS</t>
  </si>
  <si>
    <t>CONCOR.NS</t>
  </si>
  <si>
    <t>PANACEABIO.NS</t>
  </si>
  <si>
    <t>TNPL.NS</t>
  </si>
  <si>
    <t>RAJESHEXPO.NS</t>
  </si>
  <si>
    <t>EVEREADY.NS</t>
  </si>
  <si>
    <t>HATSUN.NS</t>
  </si>
  <si>
    <t>SOMANYCERA.NS</t>
  </si>
  <si>
    <t>CGCL.NS</t>
  </si>
  <si>
    <t>FDC.NS</t>
  </si>
  <si>
    <t>LINCOPH.NS</t>
  </si>
  <si>
    <t>MARICO.NS</t>
  </si>
  <si>
    <t>APOLLOPIPES.NS</t>
  </si>
  <si>
    <t>POLYMED.NS</t>
  </si>
  <si>
    <t>BANKBARODA.NS</t>
  </si>
  <si>
    <t>WELCORP.NS</t>
  </si>
  <si>
    <t>BANKINDIA.NS</t>
  </si>
  <si>
    <t>GAIL.NS</t>
  </si>
  <si>
    <t>VAIBHAVGBL.NS</t>
  </si>
  <si>
    <t>JKPAPER.NS</t>
  </si>
  <si>
    <t>SAREGAMA.NS</t>
  </si>
  <si>
    <t>ICICIBANK.NS</t>
  </si>
  <si>
    <t>CYIENT.NS</t>
  </si>
  <si>
    <t>ENGINERSIN.NS</t>
  </si>
  <si>
    <t>GMDCLTD.NS</t>
  </si>
  <si>
    <t>INDUSINDBK.NS</t>
  </si>
  <si>
    <t>ITDC.NS</t>
  </si>
  <si>
    <t>J&amp;KBANK.NS</t>
  </si>
  <si>
    <t>CUB.NS</t>
  </si>
  <si>
    <t>AXISBANK.NS</t>
  </si>
  <si>
    <t>SOUTHBANK.NS</t>
  </si>
  <si>
    <t>SONATSOFTW.NS</t>
  </si>
  <si>
    <t>NATIONALUM.NS</t>
  </si>
  <si>
    <t>APARINDS.NS</t>
  </si>
  <si>
    <t>ACCELYA.NS</t>
  </si>
  <si>
    <t>HCLTECH.NS</t>
  </si>
  <si>
    <t>JINDALSTEL.NS</t>
  </si>
  <si>
    <t>GLENMARK.NS</t>
  </si>
  <si>
    <t>WOCKPHARMA.NS</t>
  </si>
  <si>
    <t>TATACOFFEE.NS</t>
  </si>
  <si>
    <t>GEPIL.NS</t>
  </si>
  <si>
    <t>MAHLIFE.NS</t>
  </si>
  <si>
    <t>CADILAHC.NS</t>
  </si>
  <si>
    <t>AJANTPHARM.NS</t>
  </si>
  <si>
    <t>TVSMOTOR.NS</t>
  </si>
  <si>
    <t>GATI.NS</t>
  </si>
  <si>
    <t>TCI.NS</t>
  </si>
  <si>
    <t>TRIVENI.NS</t>
  </si>
  <si>
    <t>RAMCOIND.NS</t>
  </si>
  <si>
    <t>RAMCOSYS.NS</t>
  </si>
  <si>
    <t>STLTECH.NS</t>
  </si>
  <si>
    <t>BALAJITELE.NS</t>
  </si>
  <si>
    <t>IOB.NS</t>
  </si>
  <si>
    <t>TAJGVK.NS</t>
  </si>
  <si>
    <t>BSOFT.NS</t>
  </si>
  <si>
    <t>GODREJCP.NS</t>
  </si>
  <si>
    <t>BFUTILITIE.NS</t>
  </si>
  <si>
    <t>CERA.NS</t>
  </si>
  <si>
    <t>BHARTIARTL.NS</t>
  </si>
  <si>
    <t>PNB.NS</t>
  </si>
  <si>
    <t>OFSS.NS</t>
  </si>
  <si>
    <t>KAMAHOLD.NS</t>
  </si>
  <si>
    <t>APTECHT.NS</t>
  </si>
  <si>
    <t>UNIONBANK.NS</t>
  </si>
  <si>
    <t>UBL.NS</t>
  </si>
  <si>
    <t>GRANULES.NS</t>
  </si>
  <si>
    <t>CANBK.NS</t>
  </si>
  <si>
    <t>DIVISLAB.NS</t>
  </si>
  <si>
    <t>ASTRAMICRO.NS</t>
  </si>
  <si>
    <t>RADICO.NS</t>
  </si>
  <si>
    <t>SHRIRAMCIT.NS</t>
  </si>
  <si>
    <t>MARUTI.NS</t>
  </si>
  <si>
    <t>NAVINFLUOR.NS</t>
  </si>
  <si>
    <t>UCOBANK.NS</t>
  </si>
  <si>
    <t>JSL.NS</t>
  </si>
  <si>
    <t>SUPRAJIT.NS</t>
  </si>
  <si>
    <t>IGL.NS</t>
  </si>
  <si>
    <t>TVTODAY.NS</t>
  </si>
  <si>
    <t>PETRONET.NS</t>
  </si>
  <si>
    <t>BIOCON.NS</t>
  </si>
  <si>
    <t>PTC.NS</t>
  </si>
  <si>
    <t>MAHABANK.NS</t>
  </si>
  <si>
    <t>RKFORGE.NS</t>
  </si>
  <si>
    <t>STAR.NS</t>
  </si>
  <si>
    <t>JPASSOCIAT.NS</t>
  </si>
  <si>
    <t>ULTRACEMCO.NS</t>
  </si>
  <si>
    <t>MINDAIND.NS</t>
  </si>
  <si>
    <t>TCS.NS</t>
  </si>
  <si>
    <t>COFORGE.NS</t>
  </si>
  <si>
    <t>CENTURYPLY.NS</t>
  </si>
  <si>
    <t>WELENT.NS</t>
  </si>
  <si>
    <t>NTPC.NS</t>
  </si>
  <si>
    <t>DWARKESH.NS</t>
  </si>
  <si>
    <t>INDOCO.NS</t>
  </si>
  <si>
    <t>GDL.NS</t>
  </si>
  <si>
    <t>IIFL.NS</t>
  </si>
  <si>
    <t>SHOPERSTOP.NS</t>
  </si>
  <si>
    <t>JSWHL.NS</t>
  </si>
  <si>
    <t>JKCEMENT.NS</t>
  </si>
  <si>
    <t>YESBANK.NS</t>
  </si>
  <si>
    <t>KTKBANK.NS</t>
  </si>
  <si>
    <t>IDFC.NS</t>
  </si>
  <si>
    <t>SASKEN.NS</t>
  </si>
  <si>
    <t>SUZLON.NS</t>
  </si>
  <si>
    <t>AIAENG.NS</t>
  </si>
  <si>
    <t>PVR.NS</t>
  </si>
  <si>
    <t>GSPL.NS</t>
  </si>
  <si>
    <t>JAGRAN.NS</t>
  </si>
  <si>
    <t>INOXLEISUR.NS</t>
  </si>
  <si>
    <t>SADBHAV.NS</t>
  </si>
  <si>
    <t>KEC.NS</t>
  </si>
  <si>
    <t>M&amp;MFIN.NS</t>
  </si>
  <si>
    <t>SOLARINDS.NS</t>
  </si>
  <si>
    <t>SUNTV.NS</t>
  </si>
  <si>
    <t>GPIL.NS</t>
  </si>
  <si>
    <t>RSYSTEMINT.NS</t>
  </si>
  <si>
    <t>ALLCARGO.NS</t>
  </si>
  <si>
    <t>GMRINFRA.NS</t>
  </si>
  <si>
    <t>TECHM.NS</t>
  </si>
  <si>
    <t>MAHINDCIE.NS</t>
  </si>
  <si>
    <t>VOLTAMP.NS</t>
  </si>
  <si>
    <t>ACE.NS</t>
  </si>
  <si>
    <t>DCBBANK.NS</t>
  </si>
  <si>
    <t>NAUKRI.NS</t>
  </si>
  <si>
    <t>TORNTPOWER.NS</t>
  </si>
  <si>
    <t>DAAWAT.NS</t>
  </si>
  <si>
    <t>SOBHA.NS</t>
  </si>
  <si>
    <t>NETWORK18.NS</t>
  </si>
  <si>
    <t>TV18BRDCST.NS</t>
  </si>
  <si>
    <t>REDINGTON.NS</t>
  </si>
  <si>
    <t>FSL.NS</t>
  </si>
  <si>
    <t>PFC.NS</t>
  </si>
  <si>
    <t>AHLUCONT.NS</t>
  </si>
  <si>
    <t>INDIANB.NS</t>
  </si>
  <si>
    <t>MINDTREE.NS</t>
  </si>
  <si>
    <t>IDEA.NS</t>
  </si>
  <si>
    <t>PAGEIND.NS</t>
  </si>
  <si>
    <t>ASTRAL.NS</t>
  </si>
  <si>
    <t>IBREALEST.NS</t>
  </si>
  <si>
    <t>CAMLINFINE.NS</t>
  </si>
  <si>
    <t>ICRA.NS</t>
  </si>
  <si>
    <t>DISHTV.NS</t>
  </si>
  <si>
    <t>FORTIS.NS</t>
  </si>
  <si>
    <t>DELTACORP.NS</t>
  </si>
  <si>
    <t>INSECTICID.NS</t>
  </si>
  <si>
    <t>TIMETECHNO.NS</t>
  </si>
  <si>
    <t>HGS.NS</t>
  </si>
  <si>
    <t>MEGH.NS</t>
  </si>
  <si>
    <t>DLF.NS</t>
  </si>
  <si>
    <t>SPARC.NS</t>
  </si>
  <si>
    <t>OMAXE.NS</t>
  </si>
  <si>
    <t>CENTRALBK.NS</t>
  </si>
  <si>
    <t>ASIANTILES.NS</t>
  </si>
  <si>
    <t>KPRMILL.NS</t>
  </si>
  <si>
    <t>TAKE.NS</t>
  </si>
  <si>
    <t>MOTILALOFS.NS</t>
  </si>
  <si>
    <t>POWERGRID.NS</t>
  </si>
  <si>
    <t>KSCL.NS</t>
  </si>
  <si>
    <t>PAISALO.NS</t>
  </si>
  <si>
    <t>RELIGARE.NS</t>
  </si>
  <si>
    <t>ADANIPORTS.NS</t>
  </si>
  <si>
    <t>EDELWEISS.NS</t>
  </si>
  <si>
    <t>KOLTEPATIL.NS</t>
  </si>
  <si>
    <t>JYOTHYLAB.NS</t>
  </si>
  <si>
    <t>ECLERX.NS</t>
  </si>
  <si>
    <t>BRIGADE.NS</t>
  </si>
  <si>
    <t>RPOWER.NS</t>
  </si>
  <si>
    <t>JKIL.NS</t>
  </si>
  <si>
    <t>KNRCON.NS</t>
  </si>
  <si>
    <t>IRB.NS</t>
  </si>
  <si>
    <t>VGUARD.NS</t>
  </si>
  <si>
    <t>RECLTD.NS</t>
  </si>
  <si>
    <t>TWL.NS</t>
  </si>
  <si>
    <t>KIRIINDUS.NS</t>
  </si>
  <si>
    <t>BAJAJ-AUTO.NS</t>
  </si>
  <si>
    <t>BAJAJFINSV.NS</t>
  </si>
  <si>
    <t>WABCOINDIA.NS</t>
  </si>
  <si>
    <t>ISGEC.NS</t>
  </si>
  <si>
    <t>MOLDTKPAC.NS</t>
  </si>
  <si>
    <t>MHRIL.NS</t>
  </si>
  <si>
    <t>ADANIPOWER.NS</t>
  </si>
  <si>
    <t>NHPC.NS</t>
  </si>
  <si>
    <t>OIL.NS</t>
  </si>
  <si>
    <t>DEN.NS</t>
  </si>
  <si>
    <t>ASTEC.NS</t>
  </si>
  <si>
    <t>JSWENERGY.NS</t>
  </si>
  <si>
    <t>GODREJPROP.NS</t>
  </si>
  <si>
    <t>DBCORP.NS</t>
  </si>
  <si>
    <t>JUBLFOOD.NS</t>
  </si>
  <si>
    <t>HATHWAY.NS</t>
  </si>
  <si>
    <t>PERSISTENT.NS</t>
  </si>
  <si>
    <t>SJVN.NS</t>
  </si>
  <si>
    <t>BAJAJCON.NS</t>
  </si>
  <si>
    <t>GPPL.NS</t>
  </si>
  <si>
    <t>WABAG.NS</t>
  </si>
  <si>
    <t>ASHOKA.NS</t>
  </si>
  <si>
    <t>OBEROIRLTY.NS</t>
  </si>
  <si>
    <t>PRESTIGE.NS</t>
  </si>
  <si>
    <t>COALINDIA.NS</t>
  </si>
  <si>
    <t>MOIL.NS</t>
  </si>
  <si>
    <t>KIRLOSENG.NS</t>
  </si>
  <si>
    <t>BFINVEST.NS</t>
  </si>
  <si>
    <t>TEXRAIL.NS</t>
  </si>
  <si>
    <t>PFS.NS</t>
  </si>
  <si>
    <t>MUTHOOTFIN.NS</t>
  </si>
  <si>
    <t>FCONSUMER.NS</t>
  </si>
  <si>
    <t>L&amp;TFH.NS</t>
  </si>
  <si>
    <t>YAARII.NS</t>
  </si>
  <si>
    <t>RUPA.NS</t>
  </si>
  <si>
    <t>APLLTD.NS</t>
  </si>
  <si>
    <t>TRITURBINE.NS</t>
  </si>
  <si>
    <t>APLAPOLLO.NS</t>
  </si>
  <si>
    <t>ORIENTREF.NS</t>
  </si>
  <si>
    <t>MCX.NS</t>
  </si>
  <si>
    <t>SCHNEIDER.NS</t>
  </si>
  <si>
    <t>NBCC.NS</t>
  </si>
  <si>
    <t>CIGNITI.NS</t>
  </si>
  <si>
    <t>CARERATING.NS</t>
  </si>
  <si>
    <t>PCJEWELLER.NS</t>
  </si>
  <si>
    <t>INDUSTOWER.NS</t>
  </si>
  <si>
    <t>VMART.NS</t>
  </si>
  <si>
    <t>REPCOHOME.NS</t>
  </si>
  <si>
    <t>JUSTDIAL.NS</t>
  </si>
  <si>
    <t>ORIENTCEM.NS</t>
  </si>
  <si>
    <t>ABFRL.NS</t>
  </si>
  <si>
    <t>IBULHSGFIN.NS</t>
  </si>
  <si>
    <t>FLFL.NS</t>
  </si>
  <si>
    <t>NATHBIOGEN.NS</t>
  </si>
  <si>
    <t>WONDERLA.NS</t>
  </si>
  <si>
    <t>APOLLOTRI.NS</t>
  </si>
  <si>
    <t>GULFOILLUB.NS</t>
  </si>
  <si>
    <t>SNOWMAN.NS</t>
  </si>
  <si>
    <t>SHARDACROP.NS</t>
  </si>
  <si>
    <t>INTELLECT.NS</t>
  </si>
  <si>
    <t>MINDACORP.NS</t>
  </si>
  <si>
    <t>VRLLOG*.NS</t>
  </si>
  <si>
    <t>PNCINFRA.NS</t>
  </si>
  <si>
    <t>SATIA.NS</t>
  </si>
  <si>
    <t>ADANITRANS.NS</t>
  </si>
  <si>
    <t>SYNGENE.NS</t>
  </si>
  <si>
    <t>POWERMECH.NS</t>
  </si>
  <si>
    <t>GUJGAS.NS</t>
  </si>
  <si>
    <t>SATIN.NS</t>
  </si>
  <si>
    <t>IDFCFIRSTB.NS</t>
  </si>
  <si>
    <t>INDIGO.NS</t>
  </si>
  <si>
    <t>SHK.NS</t>
  </si>
  <si>
    <t>ALKEM.NS</t>
  </si>
  <si>
    <t>LALPATHLAB.NS</t>
  </si>
  <si>
    <t>LUXIND.NS</t>
  </si>
  <si>
    <t>NH.NS</t>
  </si>
  <si>
    <t>JSLHISAR.NS</t>
  </si>
  <si>
    <t>TEAMLEASE.NS</t>
  </si>
  <si>
    <t>QUICKHEAL.NS</t>
  </si>
  <si>
    <t>HCG.NS</t>
  </si>
  <si>
    <t>INFIBEAM.NS</t>
  </si>
  <si>
    <t>EQUITAS.NS</t>
  </si>
  <si>
    <t>THYROCARE.NS</t>
  </si>
  <si>
    <t>UJJIVAN.NS</t>
  </si>
  <si>
    <t>CROMPTON.NS</t>
  </si>
  <si>
    <t>PILANIINVS.NS</t>
  </si>
  <si>
    <t>PARAGMILK.NS</t>
  </si>
  <si>
    <t>MGL.NS</t>
  </si>
  <si>
    <t>QUESS.NS</t>
  </si>
  <si>
    <t>LTI.NS</t>
  </si>
  <si>
    <t>ADVENZYMES.NS</t>
  </si>
  <si>
    <t>DBL.NS</t>
  </si>
  <si>
    <t>FRETAIL.NS</t>
  </si>
  <si>
    <t>RBLBANK.NS</t>
  </si>
  <si>
    <t>LTTS.NS</t>
  </si>
  <si>
    <t>ICICIPRULI.NS</t>
  </si>
  <si>
    <t>ENDURANCE.NS</t>
  </si>
  <si>
    <t>PNBHOUSING.NS</t>
  </si>
  <si>
    <t>VBL.NS</t>
  </si>
  <si>
    <t>SFL.NS</t>
  </si>
  <si>
    <t>TCIEXP.NS</t>
  </si>
  <si>
    <t>LAURUSLABS.NS</t>
  </si>
  <si>
    <t>PRICOLLTD.NS</t>
  </si>
  <si>
    <t>DMART.NS</t>
  </si>
  <si>
    <t>SHANKARA.NS</t>
  </si>
  <si>
    <t>HUDCO.NS</t>
  </si>
  <si>
    <t>PSPPROJECT.NS</t>
  </si>
  <si>
    <t>STARCEMENT.NS</t>
  </si>
  <si>
    <t>TEJASNET.NS</t>
  </si>
  <si>
    <t>ERIS.NS</t>
  </si>
  <si>
    <t>AUBANK.NS</t>
  </si>
  <si>
    <t>SIS.NS</t>
  </si>
  <si>
    <t>COCHINSHIP.NS</t>
  </si>
  <si>
    <t>ABCAPITAL.NS</t>
  </si>
  <si>
    <t>APEX.NS</t>
  </si>
  <si>
    <t>DIXON.NS</t>
  </si>
  <si>
    <t>DCAL.NS</t>
  </si>
  <si>
    <t>ICICIGI.NS</t>
  </si>
  <si>
    <t>SBILIFE.NS</t>
  </si>
  <si>
    <t>DIAMONDYD.NS</t>
  </si>
  <si>
    <t>GODREJAGRO.NS</t>
  </si>
  <si>
    <t>MASFIN.NS</t>
  </si>
  <si>
    <t>IEX.NS</t>
  </si>
  <si>
    <t>GICRE.NS</t>
  </si>
  <si>
    <t>TIINDIA.NS</t>
  </si>
  <si>
    <t>NAM-INDIA.NS</t>
  </si>
  <si>
    <t>MAHLOG.NS</t>
  </si>
  <si>
    <t>NIACL.NS</t>
  </si>
  <si>
    <t>HDFCLIFE.NS</t>
  </si>
  <si>
    <t>FSC.NS</t>
  </si>
  <si>
    <t>NEWGEN.NS</t>
  </si>
  <si>
    <t>AMBER.NS</t>
  </si>
  <si>
    <t>GALAXYSURF.NS</t>
  </si>
  <si>
    <t>ASTERDM.NS</t>
  </si>
  <si>
    <t>HGINFRA.NS</t>
  </si>
  <si>
    <t>BDL.NS</t>
  </si>
  <si>
    <t>BANDHANBNK.NS</t>
  </si>
  <si>
    <t>HAL.NS</t>
  </si>
  <si>
    <t>ISEC.NS</t>
  </si>
  <si>
    <t>MIDHANI.NS</t>
  </si>
  <si>
    <t>LEMONTREE.NS</t>
  </si>
  <si>
    <t>ORIENTELEC.NS</t>
  </si>
  <si>
    <t>INDOSTAR.NS</t>
  </si>
  <si>
    <t>DOLLAR.NS</t>
  </si>
  <si>
    <t>ADANIGREEN.NS</t>
  </si>
  <si>
    <t>SOLARA.NS</t>
  </si>
  <si>
    <t>RITES.NS</t>
  </si>
  <si>
    <t>FINEORG.NS</t>
  </si>
  <si>
    <t>VARROC.NS</t>
  </si>
  <si>
    <t>TCNSBRANDS.NS</t>
  </si>
  <si>
    <t>HDFCAMC.NS</t>
  </si>
  <si>
    <t>CREDITACC.NS</t>
  </si>
  <si>
    <t>IRCON.NS</t>
  </si>
  <si>
    <t>AAVAS.NS</t>
  </si>
  <si>
    <t>GRSE.NS</t>
  </si>
  <si>
    <t>ATGL.NS</t>
  </si>
  <si>
    <t>TECHNOE.NS</t>
  </si>
  <si>
    <t>DALBHARAT.NS</t>
  </si>
  <si>
    <t>RPSGVENT.NS</t>
  </si>
  <si>
    <t>SPENCER.NS</t>
  </si>
  <si>
    <t>CHALET.NS</t>
  </si>
  <si>
    <t>ARVINDFASN.NS</t>
  </si>
  <si>
    <t>MSTC.NS</t>
  </si>
  <si>
    <t>RVNL.NS</t>
  </si>
  <si>
    <t>METROPOLIS.NS</t>
  </si>
  <si>
    <t>KPITTECH.NS</t>
  </si>
  <si>
    <t>POLYCAB.NS</t>
  </si>
  <si>
    <t>NEOGEN.NS</t>
  </si>
  <si>
    <t>INDIAMART.NS</t>
  </si>
  <si>
    <t>AFFLE.NS</t>
  </si>
  <si>
    <t>SPANDANA.NS</t>
  </si>
  <si>
    <t>SWSOLAR.NS</t>
  </si>
  <si>
    <t>IIFLWAM.NS</t>
  </si>
  <si>
    <t>IIFLSEC.NS</t>
  </si>
  <si>
    <t>FLUOROCHEM.NS</t>
  </si>
  <si>
    <t>IRCTC.NS</t>
  </si>
  <si>
    <t>CSBBANK.NS</t>
  </si>
  <si>
    <t>UJJIVANSFB.NS</t>
  </si>
  <si>
    <t>SHIL.NS</t>
  </si>
  <si>
    <t>PRINCEPIPE.NS</t>
  </si>
  <si>
    <t>SUMICHEM.NS</t>
  </si>
  <si>
    <t>SUVENPHAR.NS</t>
  </si>
  <si>
    <t>SBICARD.NS</t>
  </si>
  <si>
    <t>POWERINDIA.NS</t>
  </si>
  <si>
    <t>TATAMTRDVR.NS</t>
  </si>
  <si>
    <t>normwt</t>
  </si>
  <si>
    <t>ticker</t>
  </si>
  <si>
    <t>weight</t>
  </si>
  <si>
    <t>company</t>
  </si>
  <si>
    <t>sr-no</t>
  </si>
  <si>
    <t>Orig</t>
  </si>
  <si>
    <t>New Value</t>
  </si>
  <si>
    <t>assuming no trading</t>
  </si>
  <si>
    <t>Actuall</t>
  </si>
  <si>
    <t>less - uti</t>
  </si>
  <si>
    <t>less uspl</t>
  </si>
  <si>
    <t>Date</t>
  </si>
  <si>
    <t>Stock</t>
  </si>
  <si>
    <t>Action</t>
  </si>
  <si>
    <t>Qty</t>
  </si>
  <si>
    <t>Price</t>
  </si>
  <si>
    <t>Trade Value</t>
  </si>
  <si>
    <t>Order Ref.</t>
  </si>
  <si>
    <t>Settlement</t>
  </si>
  <si>
    <t>Segment</t>
  </si>
  <si>
    <t>DP Id - Client DP Id</t>
  </si>
  <si>
    <t>Exchange</t>
  </si>
  <si>
    <t>STT</t>
  </si>
  <si>
    <t>Transaction and SEBI Turnover charges</t>
  </si>
  <si>
    <t>Stamp Duty</t>
  </si>
  <si>
    <t>Brokerage + Service Tax</t>
  </si>
  <si>
    <t>Brokerage incl. taxes</t>
  </si>
  <si>
    <t>TATMOT</t>
  </si>
  <si>
    <t>Sell</t>
  </si>
  <si>
    <t>20210409N200012221</t>
  </si>
  <si>
    <t>Rolling</t>
  </si>
  <si>
    <t>IN303028-51812720</t>
  </si>
  <si>
    <t>NSE</t>
  </si>
  <si>
    <t>20210408N200010121</t>
  </si>
  <si>
    <t>20210408N200010269</t>
  </si>
  <si>
    <t>20210408N200038727</t>
  </si>
  <si>
    <t>UTIAMC</t>
  </si>
  <si>
    <t>20210407N200044533</t>
  </si>
  <si>
    <t>20210405N200014132</t>
  </si>
  <si>
    <t>20210401N200009400</t>
  </si>
  <si>
    <t>HDFSTA</t>
  </si>
  <si>
    <t>Buy</t>
  </si>
  <si>
    <t>20210401N200009942</t>
  </si>
  <si>
    <t>CRISIL</t>
  </si>
  <si>
    <t>20210330N200024779</t>
  </si>
  <si>
    <t>DABIND</t>
  </si>
  <si>
    <t>20210325N200036776</t>
  </si>
  <si>
    <t>MARLIM</t>
  </si>
  <si>
    <t>20210325N200037438</t>
  </si>
  <si>
    <t>20210325N200038766</t>
  </si>
  <si>
    <t>BRIIND</t>
  </si>
  <si>
    <t>20210325N200041327</t>
  </si>
  <si>
    <t>COLPAL</t>
  </si>
  <si>
    <t>20210325N200042040</t>
  </si>
  <si>
    <t>HDFAMC</t>
  </si>
  <si>
    <t>20210317N200036557</t>
  </si>
  <si>
    <t>20210308N200017442</t>
  </si>
  <si>
    <t>20210303N200047333</t>
  </si>
  <si>
    <t>20210303N200054478</t>
  </si>
  <si>
    <t>20210226N200060525</t>
  </si>
  <si>
    <t>20210226N200060904</t>
  </si>
  <si>
    <t>20210226N200061588</t>
  </si>
  <si>
    <t>20210226N200063159</t>
  </si>
  <si>
    <t>20210223N200021021</t>
  </si>
  <si>
    <t>20210219N200023284</t>
  </si>
  <si>
    <t>20210219N200025392</t>
  </si>
  <si>
    <t>20210219N200043082</t>
  </si>
  <si>
    <t>20210217N200013908</t>
  </si>
  <si>
    <t>INFEDG</t>
  </si>
  <si>
    <t>20210211N200015315</t>
  </si>
  <si>
    <t>20210211N200015463</t>
  </si>
  <si>
    <t>20210129N200011931</t>
  </si>
  <si>
    <t>20210129N200053451</t>
  </si>
  <si>
    <t>20210125N200022797</t>
  </si>
  <si>
    <t>20210121N200022051</t>
  </si>
  <si>
    <t>20210118N200025970</t>
  </si>
  <si>
    <t>20210118N200026762</t>
  </si>
  <si>
    <t>CADHEA</t>
  </si>
  <si>
    <t>20210118N200027086</t>
  </si>
  <si>
    <t>20210115B700007907</t>
  </si>
  <si>
    <t>BSE</t>
  </si>
  <si>
    <t>20210114N200014858</t>
  </si>
  <si>
    <t>20210114N200015095</t>
  </si>
  <si>
    <t>LICHF</t>
  </si>
  <si>
    <t>20210113N200019318</t>
  </si>
  <si>
    <t>20210112N200019545</t>
  </si>
  <si>
    <t>20210112N200021762</t>
  </si>
  <si>
    <t>20210106B700009851</t>
  </si>
  <si>
    <t>20210106B700009916</t>
  </si>
  <si>
    <t>20210106N200045873</t>
  </si>
  <si>
    <t>DIVLAB</t>
  </si>
  <si>
    <t>20210106N200047260</t>
  </si>
  <si>
    <t>HDFBAN</t>
  </si>
  <si>
    <t>20210106N200047978</t>
  </si>
  <si>
    <t>20201230N200035475</t>
  </si>
  <si>
    <t>ASIPAI</t>
  </si>
  <si>
    <t>20201222N200023513</t>
  </si>
  <si>
    <t>20201221B700009502</t>
  </si>
  <si>
    <t>20201221N200052200</t>
  </si>
  <si>
    <t>20201218N200024141</t>
  </si>
  <si>
    <t>JUBFOO</t>
  </si>
  <si>
    <t>20201218N200024609</t>
  </si>
  <si>
    <t>MOTSUM</t>
  </si>
  <si>
    <t>20201218N200025879</t>
  </si>
  <si>
    <t>20201217B700005980</t>
  </si>
  <si>
    <t>20201217N200029433</t>
  </si>
  <si>
    <t>20201216B700010272</t>
  </si>
  <si>
    <t>20201216B700010564</t>
  </si>
  <si>
    <t>TITIND</t>
  </si>
  <si>
    <t>20201216N200048592</t>
  </si>
  <si>
    <t>20201215B700010685</t>
  </si>
  <si>
    <t>20201214N200044476</t>
  </si>
  <si>
    <t>20201207N200051033</t>
  </si>
  <si>
    <t>20201202N200029677</t>
  </si>
  <si>
    <t>INDBA</t>
  </si>
  <si>
    <t>20201202N200030121</t>
  </si>
  <si>
    <t>20201201N200041821</t>
  </si>
  <si>
    <t>SUNPHA</t>
  </si>
  <si>
    <t>20201201N200042023</t>
  </si>
  <si>
    <t>20201201N200042277</t>
  </si>
  <si>
    <t>20201201N200042581</t>
  </si>
  <si>
    <t>20201201N200042652</t>
  </si>
  <si>
    <t>20201127B700007762</t>
  </si>
  <si>
    <t>20201127N200030608</t>
  </si>
  <si>
    <t>20201126N200009867</t>
  </si>
  <si>
    <t>20201126N200010052</t>
  </si>
  <si>
    <t>20201126N200011099</t>
  </si>
  <si>
    <t>20201123N200036872</t>
  </si>
  <si>
    <t>20201123N200037211</t>
  </si>
  <si>
    <t>20201123N200037307</t>
  </si>
  <si>
    <t>20201110N200020399</t>
  </si>
  <si>
    <t>20201110N200020515</t>
  </si>
  <si>
    <t>20201110N200023393</t>
  </si>
  <si>
    <t>20201110N200042753</t>
  </si>
  <si>
    <t>20201110N200043601</t>
  </si>
  <si>
    <t>20201110N200043677</t>
  </si>
  <si>
    <t>20201109N200008515</t>
  </si>
  <si>
    <t>20201109N200040686</t>
  </si>
  <si>
    <t>20201106N200006915</t>
  </si>
  <si>
    <t>CASIND</t>
  </si>
  <si>
    <t>20201106N200031810</t>
  </si>
  <si>
    <t>20201014N200027701</t>
  </si>
  <si>
    <t>20201013N200026782</t>
  </si>
  <si>
    <t>20201009B700002810</t>
  </si>
  <si>
    <t>20201006N200037166</t>
  </si>
  <si>
    <t>20200921N200004663</t>
  </si>
  <si>
    <t>20200921N200028034</t>
  </si>
  <si>
    <t>20200921N200028130</t>
  </si>
  <si>
    <t>20200909N200017583</t>
  </si>
  <si>
    <t>20200901N200037788</t>
  </si>
  <si>
    <t>20200901N200038013</t>
  </si>
  <si>
    <t>ITC</t>
  </si>
  <si>
    <t>20200901N200038160</t>
  </si>
  <si>
    <t>20200831N200065635</t>
  </si>
  <si>
    <t>20200831N200065851</t>
  </si>
  <si>
    <t>20200831N200066301</t>
  </si>
  <si>
    <t>20200828N200032973</t>
  </si>
  <si>
    <t>20200828N200033296</t>
  </si>
  <si>
    <t>BLUDAR</t>
  </si>
  <si>
    <t>20200818N200015958</t>
  </si>
  <si>
    <t>20200818N200017142</t>
  </si>
  <si>
    <t>20200812N200019335</t>
  </si>
  <si>
    <t>20200812N200039676</t>
  </si>
  <si>
    <t>20200805B700007303</t>
  </si>
  <si>
    <t>20200805N200018627</t>
  </si>
  <si>
    <t>20200805N200018736</t>
  </si>
  <si>
    <t>LUPIN</t>
  </si>
  <si>
    <t>20200805N200019188</t>
  </si>
  <si>
    <t>20200805N200020351</t>
  </si>
  <si>
    <t>20200805N200042500</t>
  </si>
  <si>
    <t>20200804N200024561</t>
  </si>
  <si>
    <t>20200804N200042945</t>
  </si>
  <si>
    <t>20200803N200025723</t>
  </si>
  <si>
    <t>20200803N200026006</t>
  </si>
  <si>
    <t>20200729N200021245</t>
  </si>
  <si>
    <t>20200722N200041058</t>
  </si>
  <si>
    <t>20200722N200041143</t>
  </si>
  <si>
    <t>20200715B700003546</t>
  </si>
  <si>
    <t>20200713N200045019</t>
  </si>
  <si>
    <t>20200708N200031655</t>
  </si>
  <si>
    <t>20200707N200008193</t>
  </si>
  <si>
    <t>20200707N200008964</t>
  </si>
  <si>
    <t>20200707N200046444</t>
  </si>
  <si>
    <t>20200706N200034879</t>
  </si>
  <si>
    <t>20200706N200037115</t>
  </si>
  <si>
    <t>20200706N200038941</t>
  </si>
  <si>
    <t>20200706N200039191</t>
  </si>
  <si>
    <t>20200703N200017477</t>
  </si>
  <si>
    <t>20200702B700004632</t>
  </si>
  <si>
    <t>20200702N200018979</t>
  </si>
  <si>
    <t>20200702N200034909</t>
  </si>
  <si>
    <t>INFTEC</t>
  </si>
  <si>
    <t>20200623N200015308</t>
  </si>
  <si>
    <t>20200609N200036212</t>
  </si>
  <si>
    <t>20200529B700009083</t>
  </si>
  <si>
    <t>20200529N200048829</t>
  </si>
  <si>
    <t>20200528B700002697</t>
  </si>
  <si>
    <t>20200528N200033115</t>
  </si>
  <si>
    <t>TCS</t>
  </si>
  <si>
    <t>20200526N200015916</t>
  </si>
  <si>
    <t>20200522N200032076</t>
  </si>
  <si>
    <t>20200519B700002637</t>
  </si>
  <si>
    <t>20200519N200014130</t>
  </si>
  <si>
    <t>20200518N200003841</t>
  </si>
  <si>
    <t>20200518N200004396</t>
  </si>
  <si>
    <t>20200518N200011883</t>
  </si>
  <si>
    <t>20200513B700004480</t>
  </si>
  <si>
    <t>20200513B700008381</t>
  </si>
  <si>
    <t>20200513B700009551</t>
  </si>
  <si>
    <t>20200513B700009580</t>
  </si>
  <si>
    <t>20200513B700009629</t>
  </si>
  <si>
    <t>20200513N200022732</t>
  </si>
  <si>
    <t>20200513N200022913</t>
  </si>
  <si>
    <t>20200513N200046088</t>
  </si>
  <si>
    <t>20200513N200053695</t>
  </si>
  <si>
    <t>20200508N200012258</t>
  </si>
  <si>
    <t>20200422B700007436</t>
  </si>
  <si>
    <t>20200415N200041594</t>
  </si>
  <si>
    <t>PAGIND</t>
  </si>
  <si>
    <t>20200415N200042254</t>
  </si>
  <si>
    <t>VMART</t>
  </si>
  <si>
    <t>20200413N200003360</t>
  </si>
  <si>
    <t>20200413N200007803</t>
  </si>
  <si>
    <t>20200413N200036111</t>
  </si>
  <si>
    <t>20200409N200014683</t>
  </si>
  <si>
    <t>20200408N200035717</t>
  </si>
  <si>
    <t>20200407B700003125</t>
  </si>
  <si>
    <t>20200407N200030276</t>
  </si>
  <si>
    <t>20200407N200044917</t>
  </si>
  <si>
    <t>20200403B700005685</t>
  </si>
  <si>
    <t>20200403N400018336</t>
  </si>
  <si>
    <t>20200323N200041892</t>
  </si>
  <si>
    <t>20200313B700005254</t>
  </si>
  <si>
    <t>20200312N200014653</t>
  </si>
  <si>
    <t>20200312N200031727</t>
  </si>
  <si>
    <t>20200312N200032184</t>
  </si>
  <si>
    <t>LTINFO</t>
  </si>
  <si>
    <t>20200312N200046613</t>
  </si>
  <si>
    <t>20200309N200013916</t>
  </si>
  <si>
    <t>20200309N200014427</t>
  </si>
  <si>
    <t>20200309N200025782</t>
  </si>
  <si>
    <t>20200309N200039965</t>
  </si>
  <si>
    <t>20200309N200040277</t>
  </si>
  <si>
    <t>20200309N200040880</t>
  </si>
  <si>
    <t>20200306N200007510</t>
  </si>
  <si>
    <t>20200306N200008088</t>
  </si>
  <si>
    <t>20200306N200008283</t>
  </si>
  <si>
    <t>20200306N200009039</t>
  </si>
  <si>
    <t>20200228N200010119</t>
  </si>
  <si>
    <t>Sum of Trade Value</t>
  </si>
  <si>
    <t>Column Labels</t>
  </si>
  <si>
    <t>Row Labels</t>
  </si>
  <si>
    <t>Grand Total</t>
  </si>
  <si>
    <t>add diff between sale and purch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</si>
</sst>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 * #,##0.00_ ;_ * \-#,##0.00_ ;_ * &quot;-&quot;??_ ;_ @_ "/>
    <numFmt numFmtId="164" formatCode="0.0000"/>
    <numFmt numFmtId="165" formatCode="0.000%"/>
    <numFmt numFmtId="166" formatCode="_ * #,##0.0_ ;_ * \-#,##0.0_ ;_ * &quot;-&quot;??_ ;_ @_ "/>
    <numFmt numFmtId="167" formatCode="0.0000%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3">
    <xf numFmtId="0" fontId="0" fillId="0" borderId="0" xfId="0"/>
    <xf numFmtId="0" fontId="0" fillId="2" borderId="1" xfId="0" applyFill="1" applyBorder="1"/>
    <xf numFmtId="0" fontId="1" fillId="3" borderId="1" xfId="0" applyFont="1" applyFill="1" applyBorder="1"/>
    <xf numFmtId="0" fontId="0" fillId="0" borderId="1" xfId="0" applyBorder="1"/>
    <xf numFmtId="0" fontId="1" fillId="0" borderId="1" xfId="0" applyFont="1" applyBorder="1"/>
    <xf numFmtId="0" fontId="1" fillId="5" borderId="0" xfId="0" applyFont="1" applyFill="1" applyProtection="1">
      <protection locked="0"/>
    </xf>
    <xf numFmtId="0" fontId="0" fillId="0" borderId="0" xfId="0" applyProtection="1">
      <protection locked="0"/>
    </xf>
    <xf numFmtId="0" fontId="0" fillId="0" borderId="0" xfId="0" applyProtection="1"/>
    <xf numFmtId="0" fontId="1" fillId="3" borderId="2" xfId="0" applyFont="1" applyFill="1" applyBorder="1" applyProtection="1"/>
    <xf numFmtId="0" fontId="0" fillId="4" borderId="1" xfId="0" applyFill="1" applyBorder="1" applyProtection="1"/>
    <xf numFmtId="164" fontId="0" fillId="4" borderId="1" xfId="0" applyNumberFormat="1" applyFill="1" applyBorder="1" applyProtection="1"/>
    <xf numFmtId="0" fontId="0" fillId="0" borderId="1" xfId="0" applyBorder="1" applyProtection="1"/>
    <xf numFmtId="164" fontId="0" fillId="0" borderId="1" xfId="0" applyNumberFormat="1" applyBorder="1" applyProtection="1"/>
    <xf numFmtId="0" fontId="1" fillId="3" borderId="1" xfId="0" applyFont="1" applyFill="1" applyBorder="1" applyProtection="1"/>
    <xf numFmtId="15" fontId="0" fillId="0" borderId="0" xfId="0" applyNumberFormat="1"/>
    <xf numFmtId="165" fontId="0" fillId="0" borderId="0" xfId="2" applyNumberFormat="1" applyFont="1"/>
    <xf numFmtId="166" fontId="0" fillId="0" borderId="0" xfId="1" applyNumberFormat="1" applyFont="1"/>
    <xf numFmtId="43" fontId="0" fillId="0" borderId="0" xfId="1" applyFont="1"/>
    <xf numFmtId="43" fontId="0" fillId="0" borderId="0" xfId="0" applyNumberFormat="1"/>
    <xf numFmtId="167" fontId="0" fillId="0" borderId="0" xfId="2" applyNumberFormat="1" applyFont="1"/>
    <xf numFmtId="0" fontId="0" fillId="0" borderId="0" xfId="0" applyAlignment="1">
      <alignment horizontal="left"/>
    </xf>
    <xf numFmtId="166" fontId="0" fillId="0" borderId="0" xfId="0" applyNumberFormat="1"/>
    <xf numFmtId="0" fontId="0" fillId="0" borderId="0" xfId="0" pivotButton="1"/>
  </cellXfs>
  <cellStyles count="3">
    <cellStyle name="Comma" xfId="1" builtinId="3"/>
    <cellStyle name="Normal" xfId="0" builtinId="0"/>
    <cellStyle name="Percent" xfId="2" builtinId="5"/>
  </cellStyles>
  <dxfs count="1">
    <dxf>
      <numFmt numFmtId="166" formatCode="_ * #,##0.0_ ;_ * \-#,##0.0_ ;_ * &quot;-&quot;??_ ;_ @_ 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ohit.gajare\Downloads\8500897627_tradeBook.xls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thor" refreshedDate="44297.688411574076" createdVersion="4" refreshedVersion="4" minRefreshableVersion="3" recordCount="187">
  <cacheSource type="worksheet">
    <worksheetSource ref="A1:P188" sheet="8500897627_tradeBook" r:id="rId2"/>
  </cacheSource>
  <cacheFields count="16">
    <cacheField name="Date" numFmtId="15">
      <sharedItems containsSemiMixedTypes="0" containsNonDate="0" containsDate="1" containsString="0" minDate="2020-02-28T00:00:00" maxDate="2021-04-10T00:00:00"/>
    </cacheField>
    <cacheField name="Stock" numFmtId="0">
      <sharedItems count="29">
        <s v="TATMOT"/>
        <s v="UTIAMC"/>
        <s v="HDFSTA"/>
        <s v="CRISIL"/>
        <s v="DABIND"/>
        <s v="MARLIM"/>
        <s v="BRIIND"/>
        <s v="COLPAL"/>
        <s v="HDFAMC"/>
        <s v="INFEDG"/>
        <s v="CADHEA"/>
        <s v="LICHF"/>
        <s v="DIVLAB"/>
        <s v="HDFBAN"/>
        <s v="ASIPAI"/>
        <s v="JUBFOO"/>
        <s v="MOTSUM"/>
        <s v="TITIND"/>
        <s v="INDBA"/>
        <s v="SUNPHA"/>
        <s v="CASIND"/>
        <s v="ITC"/>
        <s v="BLUDAR"/>
        <s v="LUPIN"/>
        <s v="INFTEC"/>
        <s v="TCS"/>
        <s v="PAGIND"/>
        <s v="VMART"/>
        <s v="LTINFO"/>
      </sharedItems>
    </cacheField>
    <cacheField name="Action" numFmtId="0">
      <sharedItems count="2">
        <s v="Sell"/>
        <s v="Buy"/>
      </sharedItems>
    </cacheField>
    <cacheField name="Qty" numFmtId="0">
      <sharedItems containsSemiMixedTypes="0" containsString="0" containsNumber="1" containsInteger="1" minValue="1" maxValue="100"/>
    </cacheField>
    <cacheField name="Price" numFmtId="0">
      <sharedItems containsSemiMixedTypes="0" containsString="0" containsNumber="1" minValue="75.2" maxValue="17051"/>
    </cacheField>
    <cacheField name="Trade Value" numFmtId="0">
      <sharedItems containsSemiMixedTypes="0" containsString="0" containsNumber="1" minValue="5050" maxValue="28940"/>
    </cacheField>
    <cacheField name="Order Ref." numFmtId="0">
      <sharedItems/>
    </cacheField>
    <cacheField name="Settlement" numFmtId="0">
      <sharedItems containsSemiMixedTypes="0" containsString="0" containsNumber="1" containsInteger="1" minValue="2020043" maxValue="202021201"/>
    </cacheField>
    <cacheField name="Segment" numFmtId="0">
      <sharedItems/>
    </cacheField>
    <cacheField name="DP Id - Client DP Id" numFmtId="0">
      <sharedItems/>
    </cacheField>
    <cacheField name="Exchange" numFmtId="0">
      <sharedItems/>
    </cacheField>
    <cacheField name="STT" numFmtId="0">
      <sharedItems containsSemiMixedTypes="0" containsString="0" containsNumber="1" minValue="5.09" maxValue="29"/>
    </cacheField>
    <cacheField name="Transaction and SEBI Turnover charges" numFmtId="0">
      <sharedItems containsSemiMixedTypes="0" containsString="0" containsNumber="1" minValue="0.12" maxValue="1"/>
    </cacheField>
    <cacheField name="Stamp Duty" numFmtId="0">
      <sharedItems containsSemiMixedTypes="0" containsString="0" containsNumber="1" minValue="0" maxValue="6"/>
    </cacheField>
    <cacheField name="Brokerage + Service Tax" numFmtId="0">
      <sharedItems containsSemiMixedTypes="0" containsString="0" containsNumber="1" minValue="41.32" maxValue="188"/>
    </cacheField>
    <cacheField name="Brokerage incl. taxes" numFmtId="0">
      <sharedItems containsSemiMixedTypes="0" containsString="0" containsNumber="1" minValue="46.905999999999999" maxValue="217.99850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87">
  <r>
    <d v="2021-04-09T00:00:00"/>
    <x v="0"/>
    <x v="0"/>
    <n v="20"/>
    <n v="322.8"/>
    <n v="6456"/>
    <s v="20210409N200012221"/>
    <n v="2021067"/>
    <s v="Rolling"/>
    <s v="IN303028-51812720"/>
    <s v="NSE"/>
    <n v="6"/>
    <n v="0.23"/>
    <n v="0"/>
    <n v="41.94"/>
    <n v="48.165999999999997"/>
  </r>
  <r>
    <d v="2021-04-08T00:00:00"/>
    <x v="0"/>
    <x v="0"/>
    <n v="20"/>
    <n v="312.5"/>
    <n v="6250"/>
    <s v="20210408N200010121"/>
    <n v="2021066"/>
    <s v="Rolling"/>
    <s v="IN303028-51812720"/>
    <s v="NSE"/>
    <n v="6.3"/>
    <n v="0.22"/>
    <n v="0"/>
    <n v="41.34"/>
    <n v="47.858800000000002"/>
  </r>
  <r>
    <d v="2021-04-08T00:00:00"/>
    <x v="0"/>
    <x v="0"/>
    <n v="20"/>
    <n v="315"/>
    <n v="6300"/>
    <s v="20210408N200010269"/>
    <n v="2021066"/>
    <s v="Rolling"/>
    <s v="IN303028-51812720"/>
    <s v="NSE"/>
    <n v="6.3"/>
    <n v="0.22"/>
    <n v="0"/>
    <n v="41.34"/>
    <n v="47.860500000000002"/>
  </r>
  <r>
    <d v="2021-04-08T00:00:00"/>
    <x v="0"/>
    <x v="0"/>
    <n v="20"/>
    <n v="318.10000000000002"/>
    <n v="6362"/>
    <s v="20210408N200038727"/>
    <n v="2021066"/>
    <s v="Rolling"/>
    <s v="IN303028-51812720"/>
    <s v="NSE"/>
    <n v="6.39"/>
    <n v="0.22"/>
    <n v="0"/>
    <n v="41.34"/>
    <n v="47.9527"/>
  </r>
  <r>
    <d v="2021-04-07T00:00:00"/>
    <x v="1"/>
    <x v="0"/>
    <n v="10"/>
    <n v="585.1"/>
    <n v="5851"/>
    <s v="20210407N200044533"/>
    <n v="2021065"/>
    <s v="Rolling"/>
    <s v="IN303028-51812720"/>
    <s v="NSE"/>
    <n v="6"/>
    <n v="0.2"/>
    <n v="0"/>
    <n v="41.34"/>
    <n v="47.544800000000002"/>
  </r>
  <r>
    <d v="2021-04-05T00:00:00"/>
    <x v="0"/>
    <x v="0"/>
    <n v="40"/>
    <n v="306.3"/>
    <n v="12252"/>
    <s v="20210405N200014132"/>
    <n v="2021063"/>
    <s v="Rolling"/>
    <s v="IN303028-51812720"/>
    <s v="NSE"/>
    <n v="12"/>
    <n v="0.43"/>
    <n v="0"/>
    <n v="79.599999999999994"/>
    <n v="92.028800000000004"/>
  </r>
  <r>
    <d v="2021-04-01T00:00:00"/>
    <x v="0"/>
    <x v="0"/>
    <n v="40"/>
    <n v="305.7"/>
    <n v="12228"/>
    <s v="20210401N200009400"/>
    <n v="2021062"/>
    <s v="Rolling"/>
    <s v="IN303028-51812720"/>
    <s v="NSE"/>
    <n v="12.23"/>
    <n v="0.43"/>
    <n v="0"/>
    <n v="79.44"/>
    <n v="92.097999999999999"/>
  </r>
  <r>
    <d v="2021-04-01T00:00:00"/>
    <x v="2"/>
    <x v="1"/>
    <n v="15"/>
    <n v="686.05"/>
    <n v="10290.75"/>
    <s v="20210401N200009942"/>
    <n v="2021062"/>
    <s v="Rolling"/>
    <s v="IN303028-51812720"/>
    <s v="NSE"/>
    <n v="10.77"/>
    <n v="0.36"/>
    <n v="2"/>
    <n v="66.849999999999994"/>
    <n v="79.980199999999996"/>
  </r>
  <r>
    <d v="2021-03-30T00:00:00"/>
    <x v="3"/>
    <x v="1"/>
    <n v="5"/>
    <n v="1881"/>
    <n v="9405"/>
    <s v="20210330N200024779"/>
    <n v="2021060"/>
    <s v="Rolling"/>
    <s v="IN303028-51812720"/>
    <s v="NSE"/>
    <n v="9"/>
    <n v="0.32"/>
    <n v="1"/>
    <n v="61.1"/>
    <n v="71.424499999999995"/>
  </r>
  <r>
    <d v="2021-03-25T00:00:00"/>
    <x v="4"/>
    <x v="1"/>
    <n v="20"/>
    <n v="521.75"/>
    <n v="10435"/>
    <s v="20210325N200036776"/>
    <n v="2021058"/>
    <s v="Rolling"/>
    <s v="IN303028-51812720"/>
    <s v="NSE"/>
    <n v="10.37"/>
    <n v="0.36"/>
    <n v="1.57"/>
    <n v="67.790000000000006"/>
    <n v="80.09"/>
  </r>
  <r>
    <d v="2021-03-25T00:00:00"/>
    <x v="5"/>
    <x v="1"/>
    <n v="25"/>
    <n v="397"/>
    <n v="9925"/>
    <s v="20210325N200037438"/>
    <n v="2021058"/>
    <s v="Rolling"/>
    <s v="IN303028-51812720"/>
    <s v="NSE"/>
    <n v="9.93"/>
    <n v="0.34"/>
    <n v="1.49"/>
    <n v="64.47"/>
    <n v="76.232500000000002"/>
  </r>
  <r>
    <d v="2021-03-25T00:00:00"/>
    <x v="2"/>
    <x v="1"/>
    <n v="15"/>
    <n v="666"/>
    <n v="9990"/>
    <s v="20210325N200038766"/>
    <n v="2021058"/>
    <s v="Rolling"/>
    <s v="IN303028-51812720"/>
    <s v="NSE"/>
    <n v="9.99"/>
    <n v="0.34"/>
    <n v="1.5"/>
    <n v="64.900000000000006"/>
    <n v="76.734700000000004"/>
  </r>
  <r>
    <d v="2021-03-25T00:00:00"/>
    <x v="6"/>
    <x v="1"/>
    <n v="5"/>
    <n v="3481"/>
    <n v="17405"/>
    <s v="20210325N200041327"/>
    <n v="2021058"/>
    <s v="Rolling"/>
    <s v="IN303028-51812720"/>
    <s v="NSE"/>
    <n v="17.41"/>
    <n v="0.6"/>
    <n v="2.14"/>
    <n v="113.07"/>
    <n v="133.22049999999999"/>
  </r>
  <r>
    <d v="2021-03-25T00:00:00"/>
    <x v="7"/>
    <x v="1"/>
    <n v="10"/>
    <n v="1531"/>
    <n v="15310"/>
    <s v="20210325N200042040"/>
    <n v="2021058"/>
    <s v="Rolling"/>
    <s v="IN303028-51812720"/>
    <s v="NSE"/>
    <n v="15.31"/>
    <n v="0.53"/>
    <n v="2.2999999999999998"/>
    <n v="99.46"/>
    <n v="117.59820000000001"/>
  </r>
  <r>
    <d v="2021-03-17T00:00:00"/>
    <x v="8"/>
    <x v="1"/>
    <n v="5"/>
    <n v="2936"/>
    <n v="14680"/>
    <s v="20210317N200036557"/>
    <n v="2021052"/>
    <s v="Rolling"/>
    <s v="IN303028-51812720"/>
    <s v="NSE"/>
    <n v="15"/>
    <n v="0.51"/>
    <n v="2"/>
    <n v="95.36"/>
    <n v="112.8664"/>
  </r>
  <r>
    <d v="2021-03-08T00:00:00"/>
    <x v="1"/>
    <x v="0"/>
    <n v="10"/>
    <n v="615.79999999999995"/>
    <n v="6158"/>
    <s v="20210308N200017442"/>
    <n v="2021046"/>
    <s v="Rolling"/>
    <s v="IN303028-51812720"/>
    <s v="NSE"/>
    <n v="6"/>
    <n v="0.21"/>
    <n v="0"/>
    <n v="41.34"/>
    <n v="47.552500000000002"/>
  </r>
  <r>
    <d v="2021-03-03T00:00:00"/>
    <x v="1"/>
    <x v="0"/>
    <n v="10"/>
    <n v="605"/>
    <n v="6050"/>
    <s v="20210303N200047333"/>
    <n v="2021043"/>
    <s v="Rolling"/>
    <s v="IN303028-51812720"/>
    <s v="NSE"/>
    <n v="6.08"/>
    <n v="0.21"/>
    <n v="0"/>
    <n v="41.34"/>
    <n v="47.628700000000002"/>
  </r>
  <r>
    <d v="2021-03-03T00:00:00"/>
    <x v="1"/>
    <x v="0"/>
    <n v="10"/>
    <n v="610"/>
    <n v="6100"/>
    <s v="20210303N200054478"/>
    <n v="2021043"/>
    <s v="Rolling"/>
    <s v="IN303028-51812720"/>
    <s v="NSE"/>
    <n v="5.93"/>
    <n v="0.21"/>
    <n v="0"/>
    <n v="41.34"/>
    <n v="47.480499999999999"/>
  </r>
  <r>
    <d v="2021-02-26T00:00:00"/>
    <x v="5"/>
    <x v="1"/>
    <n v="25"/>
    <n v="401"/>
    <n v="10025"/>
    <s v="20210226N200060525"/>
    <n v="2021040"/>
    <s v="Rolling"/>
    <s v="IN303028-51812720"/>
    <s v="NSE"/>
    <n v="10.029999999999999"/>
    <n v="0.35"/>
    <n v="1.5"/>
    <n v="65.12"/>
    <n v="76.995900000000006"/>
  </r>
  <r>
    <d v="2021-02-26T00:00:00"/>
    <x v="8"/>
    <x v="1"/>
    <n v="5"/>
    <n v="2936"/>
    <n v="14680"/>
    <s v="20210226N200060904"/>
    <n v="2021040"/>
    <s v="Rolling"/>
    <s v="IN303028-51812720"/>
    <s v="NSE"/>
    <n v="14.68"/>
    <n v="0.51"/>
    <n v="1.98"/>
    <n v="95.36"/>
    <n v="112.5264"/>
  </r>
  <r>
    <d v="2021-02-26T00:00:00"/>
    <x v="4"/>
    <x v="1"/>
    <n v="20"/>
    <n v="505.1"/>
    <n v="10102"/>
    <s v="20210226N200061588"/>
    <n v="2021040"/>
    <s v="Rolling"/>
    <s v="IN303028-51812720"/>
    <s v="NSE"/>
    <n v="10.41"/>
    <n v="0.35"/>
    <n v="1.52"/>
    <n v="65.62"/>
    <n v="77.898600000000002"/>
  </r>
  <r>
    <d v="2021-02-26T00:00:00"/>
    <x v="1"/>
    <x v="0"/>
    <n v="10"/>
    <n v="589"/>
    <n v="5890"/>
    <s v="20210226N200063159"/>
    <n v="2021040"/>
    <s v="Rolling"/>
    <s v="IN303028-51812720"/>
    <s v="NSE"/>
    <n v="5.89"/>
    <n v="0.2"/>
    <n v="0"/>
    <n v="41.34"/>
    <n v="47.433199999999999"/>
  </r>
  <r>
    <d v="2021-02-23T00:00:00"/>
    <x v="1"/>
    <x v="0"/>
    <n v="10"/>
    <n v="595"/>
    <n v="5950"/>
    <s v="20210223N200021021"/>
    <n v="2021037"/>
    <s v="Rolling"/>
    <s v="IN303028-51812720"/>
    <s v="NSE"/>
    <n v="6"/>
    <n v="0.21"/>
    <n v="0"/>
    <n v="41.34"/>
    <n v="47.545299999999997"/>
  </r>
  <r>
    <d v="2021-02-19T00:00:00"/>
    <x v="1"/>
    <x v="0"/>
    <n v="10"/>
    <n v="575"/>
    <n v="5750"/>
    <s v="20210219N200023284"/>
    <n v="2021035"/>
    <s v="Rolling"/>
    <s v="IN303028-51812720"/>
    <s v="NSE"/>
    <n v="5.79"/>
    <n v="0.2"/>
    <n v="0"/>
    <n v="41.34"/>
    <n v="47.328400000000002"/>
  </r>
  <r>
    <d v="2021-02-19T00:00:00"/>
    <x v="4"/>
    <x v="1"/>
    <n v="20"/>
    <n v="510.9"/>
    <n v="10218"/>
    <s v="20210219N200025392"/>
    <n v="2021035"/>
    <s v="Rolling"/>
    <s v="IN303028-51812720"/>
    <s v="NSE"/>
    <n v="10.42"/>
    <n v="0.35"/>
    <n v="2"/>
    <n v="66.38"/>
    <n v="79.152500000000003"/>
  </r>
  <r>
    <d v="2021-02-19T00:00:00"/>
    <x v="1"/>
    <x v="0"/>
    <n v="10"/>
    <n v="583.5"/>
    <n v="5835"/>
    <s v="20210219N200043082"/>
    <n v="2021035"/>
    <s v="Rolling"/>
    <s v="IN303028-51812720"/>
    <s v="NSE"/>
    <n v="5.79"/>
    <n v="0.2"/>
    <n v="0"/>
    <n v="41.34"/>
    <n v="47.331299999999999"/>
  </r>
  <r>
    <d v="2021-02-17T00:00:00"/>
    <x v="1"/>
    <x v="0"/>
    <n v="10"/>
    <n v="565"/>
    <n v="5650"/>
    <s v="20210217N200013908"/>
    <n v="2021033"/>
    <s v="Rolling"/>
    <s v="IN303028-51812720"/>
    <s v="NSE"/>
    <n v="6"/>
    <n v="0.19"/>
    <n v="0"/>
    <n v="41.34"/>
    <n v="47.5349"/>
  </r>
  <r>
    <d v="2021-02-11T00:00:00"/>
    <x v="9"/>
    <x v="0"/>
    <n v="5"/>
    <n v="5273"/>
    <n v="26365"/>
    <s v="20210211N200015315"/>
    <n v="2021029"/>
    <s v="Rolling"/>
    <s v="IN303028-51812720"/>
    <s v="NSE"/>
    <n v="26.35"/>
    <n v="0.91"/>
    <n v="0"/>
    <n v="171.27"/>
    <n v="198.52959999999999"/>
  </r>
  <r>
    <d v="2021-02-11T00:00:00"/>
    <x v="1"/>
    <x v="0"/>
    <n v="10"/>
    <n v="565"/>
    <n v="5650"/>
    <s v="20210211N200015463"/>
    <n v="2021029"/>
    <s v="Rolling"/>
    <s v="IN303028-51812720"/>
    <s v="NSE"/>
    <n v="5.65"/>
    <n v="0.19"/>
    <n v="0"/>
    <n v="41.34"/>
    <n v="47.184899999999999"/>
  </r>
  <r>
    <d v="2021-01-29T00:00:00"/>
    <x v="1"/>
    <x v="0"/>
    <n v="10"/>
    <n v="556"/>
    <n v="5560"/>
    <s v="20210129N200011931"/>
    <n v="2021020"/>
    <s v="Rolling"/>
    <s v="IN303028-51812720"/>
    <s v="NSE"/>
    <n v="5.76"/>
    <n v="0.19"/>
    <n v="0"/>
    <n v="41.33"/>
    <n v="47.281799999999997"/>
  </r>
  <r>
    <d v="2021-01-29T00:00:00"/>
    <x v="4"/>
    <x v="1"/>
    <n v="20"/>
    <n v="511.9"/>
    <n v="10238"/>
    <s v="20210129N200053451"/>
    <n v="2021020"/>
    <s v="Rolling"/>
    <s v="IN303028-51812720"/>
    <s v="NSE"/>
    <n v="10.24"/>
    <n v="0.35"/>
    <n v="2"/>
    <n v="66.510000000000005"/>
    <n v="79.103200000000001"/>
  </r>
  <r>
    <d v="2021-01-25T00:00:00"/>
    <x v="8"/>
    <x v="1"/>
    <n v="5"/>
    <n v="2971"/>
    <n v="14855"/>
    <s v="20210125N200022797"/>
    <n v="2021017"/>
    <s v="Rolling"/>
    <s v="IN303028-51812720"/>
    <s v="NSE"/>
    <n v="15"/>
    <n v="0.51"/>
    <n v="2"/>
    <n v="96.5"/>
    <n v="114.0125"/>
  </r>
  <r>
    <d v="2021-01-21T00:00:00"/>
    <x v="8"/>
    <x v="1"/>
    <n v="5"/>
    <n v="3121"/>
    <n v="15605"/>
    <s v="20210121N200022051"/>
    <n v="2021015"/>
    <s v="Rolling"/>
    <s v="IN303028-51812720"/>
    <s v="NSE"/>
    <n v="16"/>
    <n v="0.54"/>
    <n v="2"/>
    <n v="101.37"/>
    <n v="119.9084"/>
  </r>
  <r>
    <d v="2021-01-18T00:00:00"/>
    <x v="9"/>
    <x v="0"/>
    <n v="5"/>
    <n v="4949"/>
    <n v="24745"/>
    <s v="20210118N200025970"/>
    <n v="2021012"/>
    <s v="Rolling"/>
    <s v="IN303028-51812720"/>
    <s v="NSE"/>
    <n v="24.33"/>
    <n v="0.85"/>
    <n v="0"/>
    <n v="160.75"/>
    <n v="185.93369999999999"/>
  </r>
  <r>
    <d v="2021-01-18T00:00:00"/>
    <x v="4"/>
    <x v="1"/>
    <n v="20"/>
    <n v="535"/>
    <n v="10700"/>
    <s v="20210118N200026762"/>
    <n v="2021012"/>
    <s v="Rolling"/>
    <s v="IN303028-51812720"/>
    <s v="NSE"/>
    <n v="10.7"/>
    <n v="0.37"/>
    <n v="2"/>
    <n v="69.510000000000005"/>
    <n v="82.5792"/>
  </r>
  <r>
    <d v="2021-01-18T00:00:00"/>
    <x v="10"/>
    <x v="0"/>
    <n v="25"/>
    <n v="479"/>
    <n v="11975"/>
    <s v="20210118N200027086"/>
    <n v="2021012"/>
    <s v="Rolling"/>
    <s v="IN303028-51812720"/>
    <s v="NSE"/>
    <n v="11.98"/>
    <n v="0.41"/>
    <n v="0"/>
    <n v="77.790000000000006"/>
    <n v="90.183199999999999"/>
  </r>
  <r>
    <d v="2021-01-15T00:00:00"/>
    <x v="1"/>
    <x v="0"/>
    <n v="10"/>
    <n v="579.5"/>
    <n v="5795"/>
    <s v="20210115B700007907"/>
    <n v="202021201"/>
    <s v="Rolling"/>
    <s v="IN303028-51812720"/>
    <s v="BSE"/>
    <n v="6"/>
    <n v="0.16"/>
    <n v="0"/>
    <n v="41.33"/>
    <n v="47.489400000000003"/>
  </r>
  <r>
    <d v="2021-01-14T00:00:00"/>
    <x v="9"/>
    <x v="0"/>
    <n v="5"/>
    <n v="5211"/>
    <n v="26055"/>
    <s v="20210114N200014858"/>
    <n v="2021010"/>
    <s v="Rolling"/>
    <s v="IN303028-51812720"/>
    <s v="NSE"/>
    <n v="26.44"/>
    <n v="0.9"/>
    <n v="0"/>
    <n v="169.26"/>
    <n v="196.59889999999999"/>
  </r>
  <r>
    <d v="2021-01-14T00:00:00"/>
    <x v="1"/>
    <x v="0"/>
    <n v="10"/>
    <n v="556"/>
    <n v="5560"/>
    <s v="20210114N200015095"/>
    <n v="2021010"/>
    <s v="Rolling"/>
    <s v="IN303028-51812720"/>
    <s v="NSE"/>
    <n v="5.56"/>
    <n v="0.19"/>
    <n v="0"/>
    <n v="41.33"/>
    <n v="47.081800000000001"/>
  </r>
  <r>
    <d v="2021-01-13T00:00:00"/>
    <x v="11"/>
    <x v="0"/>
    <n v="20"/>
    <n v="461"/>
    <n v="9220"/>
    <s v="20210113N200019318"/>
    <n v="2021009"/>
    <s v="Rolling"/>
    <s v="IN303028-51812720"/>
    <s v="NSE"/>
    <n v="9"/>
    <n v="0.32"/>
    <n v="0"/>
    <n v="59.9"/>
    <n v="69.218100000000007"/>
  </r>
  <r>
    <d v="2021-01-12T00:00:00"/>
    <x v="1"/>
    <x v="0"/>
    <n v="10"/>
    <n v="554"/>
    <n v="5540"/>
    <s v="20210112N200019545"/>
    <n v="2021008"/>
    <s v="Rolling"/>
    <s v="IN303028-51812720"/>
    <s v="NSE"/>
    <n v="5.54"/>
    <n v="0.19"/>
    <n v="0"/>
    <n v="41.33"/>
    <n v="47.061199999999999"/>
  </r>
  <r>
    <d v="2021-01-12T00:00:00"/>
    <x v="11"/>
    <x v="0"/>
    <n v="20"/>
    <n v="439"/>
    <n v="8780"/>
    <s v="20210112N200021762"/>
    <n v="2021008"/>
    <s v="Rolling"/>
    <s v="IN303028-51812720"/>
    <s v="NSE"/>
    <n v="8.4600000000000009"/>
    <n v="0.3"/>
    <n v="0"/>
    <n v="57.04"/>
    <n v="65.802899999999994"/>
  </r>
  <r>
    <d v="2021-01-06T00:00:00"/>
    <x v="5"/>
    <x v="1"/>
    <n v="30"/>
    <n v="416.87"/>
    <n v="12506.15"/>
    <s v="20210106B700009851"/>
    <n v="202021194"/>
    <s v="Rolling"/>
    <s v="IN303028-51812720"/>
    <s v="BSE"/>
    <n v="12.66"/>
    <n v="0.34"/>
    <n v="2"/>
    <n v="81.23"/>
    <n v="96.233800000000002"/>
  </r>
  <r>
    <d v="2021-01-06T00:00:00"/>
    <x v="9"/>
    <x v="0"/>
    <n v="5"/>
    <n v="5268"/>
    <n v="26340"/>
    <s v="20210106B700009916"/>
    <n v="202021194"/>
    <s v="Rolling"/>
    <s v="IN303028-51812720"/>
    <s v="BSE"/>
    <n v="26.34"/>
    <n v="0.72"/>
    <n v="0"/>
    <n v="171.08"/>
    <n v="198.14439999999999"/>
  </r>
  <r>
    <d v="2021-01-06T00:00:00"/>
    <x v="9"/>
    <x v="0"/>
    <n v="5"/>
    <n v="5322.1"/>
    <n v="26610.5"/>
    <s v="20210106N200045873"/>
    <n v="2021004"/>
    <s v="Rolling"/>
    <s v="IN303028-51812720"/>
    <s v="NSE"/>
    <n v="26.61"/>
    <n v="0.92"/>
    <n v="0"/>
    <n v="172.87"/>
    <n v="200.3981"/>
  </r>
  <r>
    <d v="2021-01-06T00:00:00"/>
    <x v="12"/>
    <x v="0"/>
    <n v="5"/>
    <n v="3869"/>
    <n v="19345"/>
    <s v="20210106N200047260"/>
    <n v="2021004"/>
    <s v="Rolling"/>
    <s v="IN303028-51812720"/>
    <s v="NSE"/>
    <n v="19.18"/>
    <n v="0.67"/>
    <n v="0"/>
    <n v="125.67"/>
    <n v="145.51740000000001"/>
  </r>
  <r>
    <d v="2021-01-06T00:00:00"/>
    <x v="13"/>
    <x v="1"/>
    <n v="10"/>
    <n v="1420.5"/>
    <n v="14205"/>
    <s v="20210106N200047978"/>
    <n v="2021004"/>
    <s v="Rolling"/>
    <s v="IN303028-51812720"/>
    <s v="NSE"/>
    <n v="14.21"/>
    <n v="0.49"/>
    <n v="2"/>
    <n v="92.28"/>
    <n v="108.98009999999999"/>
  </r>
  <r>
    <d v="2020-12-30T00:00:00"/>
    <x v="1"/>
    <x v="0"/>
    <n v="50"/>
    <n v="561"/>
    <n v="28050"/>
    <s v="20201230N200035475"/>
    <n v="2020251"/>
    <s v="Rolling"/>
    <s v="IN303028-51812720"/>
    <s v="NSE"/>
    <n v="28"/>
    <n v="0.97"/>
    <n v="0"/>
    <n v="182.22"/>
    <n v="211.18770000000001"/>
  </r>
  <r>
    <d v="2020-12-22T00:00:00"/>
    <x v="14"/>
    <x v="0"/>
    <n v="5"/>
    <n v="2559"/>
    <n v="12795"/>
    <s v="20201222N200023513"/>
    <n v="2020246"/>
    <s v="Rolling"/>
    <s v="IN303028-51812720"/>
    <s v="NSE"/>
    <n v="13"/>
    <n v="0.44"/>
    <n v="0"/>
    <n v="83.12"/>
    <n v="96.561400000000006"/>
  </r>
  <r>
    <d v="2020-12-21T00:00:00"/>
    <x v="8"/>
    <x v="1"/>
    <n v="5"/>
    <n v="2751"/>
    <n v="13755"/>
    <s v="20201221B700009502"/>
    <n v="202021183"/>
    <s v="Rolling"/>
    <s v="IN303028-51812720"/>
    <s v="BSE"/>
    <n v="14"/>
    <n v="0.38"/>
    <n v="2"/>
    <n v="89.34"/>
    <n v="105.7183"/>
  </r>
  <r>
    <d v="2020-12-21T00:00:00"/>
    <x v="5"/>
    <x v="1"/>
    <n v="25"/>
    <n v="394.72"/>
    <n v="9868.1"/>
    <s v="20201221N200052200"/>
    <n v="2020245"/>
    <s v="Rolling"/>
    <s v="IN303028-51812720"/>
    <s v="NSE"/>
    <n v="10"/>
    <n v="0.34"/>
    <n v="1"/>
    <n v="64.099999999999994"/>
    <n v="75.4405"/>
  </r>
  <r>
    <d v="2020-12-18T00:00:00"/>
    <x v="9"/>
    <x v="0"/>
    <n v="5"/>
    <n v="4565"/>
    <n v="22825"/>
    <s v="20201218N200024141"/>
    <n v="2020244"/>
    <s v="Rolling"/>
    <s v="IN303028-51812720"/>
    <s v="NSE"/>
    <n v="22.83"/>
    <n v="0.79"/>
    <n v="0"/>
    <n v="148.28"/>
    <n v="171.89750000000001"/>
  </r>
  <r>
    <d v="2020-12-18T00:00:00"/>
    <x v="15"/>
    <x v="0"/>
    <n v="5"/>
    <n v="2794"/>
    <n v="13970"/>
    <s v="20201218N200024609"/>
    <n v="2020244"/>
    <s v="Rolling"/>
    <s v="IN303028-51812720"/>
    <s v="NSE"/>
    <n v="13.49"/>
    <n v="0.48"/>
    <n v="0"/>
    <n v="90.75"/>
    <n v="104.72199999999999"/>
  </r>
  <r>
    <d v="2020-12-18T00:00:00"/>
    <x v="16"/>
    <x v="0"/>
    <n v="100"/>
    <n v="156.9"/>
    <n v="15690"/>
    <s v="20201218N200025879"/>
    <n v="2020244"/>
    <s v="Rolling"/>
    <s v="IN303028-51812720"/>
    <s v="NSE"/>
    <n v="15.69"/>
    <n v="0.54"/>
    <n v="0"/>
    <n v="101.93"/>
    <n v="118.1613"/>
  </r>
  <r>
    <d v="2020-12-17T00:00:00"/>
    <x v="3"/>
    <x v="1"/>
    <n v="5"/>
    <n v="1895"/>
    <n v="9475"/>
    <s v="20201217B700005980"/>
    <n v="202021181"/>
    <s v="Rolling"/>
    <s v="IN303028-51812720"/>
    <s v="BSE"/>
    <n v="9"/>
    <n v="0.26"/>
    <n v="1"/>
    <n v="61.54"/>
    <n v="71.8005"/>
  </r>
  <r>
    <d v="2020-12-17T00:00:00"/>
    <x v="15"/>
    <x v="0"/>
    <n v="5"/>
    <n v="2885"/>
    <n v="14425"/>
    <s v="20201217N200029433"/>
    <n v="2020243"/>
    <s v="Rolling"/>
    <s v="IN303028-51812720"/>
    <s v="NSE"/>
    <n v="14"/>
    <n v="0.5"/>
    <n v="0"/>
    <n v="93.71"/>
    <n v="108.2077"/>
  </r>
  <r>
    <d v="2020-12-16T00:00:00"/>
    <x v="14"/>
    <x v="0"/>
    <n v="5"/>
    <n v="2585"/>
    <n v="12925"/>
    <s v="20201216B700010272"/>
    <n v="202021180"/>
    <s v="Rolling"/>
    <s v="IN303028-51812720"/>
    <s v="BSE"/>
    <n v="13.01"/>
    <n v="0.36"/>
    <n v="0"/>
    <n v="83.95"/>
    <n v="97.3155"/>
  </r>
  <r>
    <d v="2020-12-16T00:00:00"/>
    <x v="9"/>
    <x v="0"/>
    <n v="5"/>
    <n v="4598"/>
    <n v="22990"/>
    <s v="20201216B700010564"/>
    <n v="202021180"/>
    <s v="Rolling"/>
    <s v="IN303028-51812720"/>
    <s v="BSE"/>
    <n v="22.99"/>
    <n v="0.63"/>
    <n v="0"/>
    <n v="149.32"/>
    <n v="172.94220000000001"/>
  </r>
  <r>
    <d v="2020-12-16T00:00:00"/>
    <x v="17"/>
    <x v="0"/>
    <n v="5"/>
    <n v="1503.9"/>
    <n v="7519.5"/>
    <s v="20201216N200048592"/>
    <n v="2020242"/>
    <s v="Rolling"/>
    <s v="IN303028-51812720"/>
    <s v="NSE"/>
    <n v="8"/>
    <n v="0.26"/>
    <n v="0"/>
    <n v="48.85"/>
    <n v="57.109499999999997"/>
  </r>
  <r>
    <d v="2020-12-15T00:00:00"/>
    <x v="5"/>
    <x v="1"/>
    <n v="20"/>
    <n v="409.1"/>
    <n v="8182"/>
    <s v="20201215B700010685"/>
    <n v="202021179"/>
    <s v="Rolling"/>
    <s v="IN303028-51812720"/>
    <s v="BSE"/>
    <n v="8"/>
    <n v="0.23"/>
    <n v="1"/>
    <n v="53.14"/>
    <n v="62.365000000000002"/>
  </r>
  <r>
    <d v="2020-12-14T00:00:00"/>
    <x v="1"/>
    <x v="0"/>
    <n v="50"/>
    <n v="578.79999999999995"/>
    <n v="28940"/>
    <s v="20201214N200044476"/>
    <n v="2020240"/>
    <s v="Rolling"/>
    <s v="IN303028-51812720"/>
    <s v="NSE"/>
    <n v="29"/>
    <n v="1"/>
    <n v="0"/>
    <n v="188"/>
    <n v="217.99850000000001"/>
  </r>
  <r>
    <d v="2020-12-07T00:00:00"/>
    <x v="1"/>
    <x v="0"/>
    <n v="50"/>
    <n v="548"/>
    <n v="27400"/>
    <s v="20201207N200051033"/>
    <n v="2020235"/>
    <s v="Rolling"/>
    <s v="IN303028-51812720"/>
    <s v="NSE"/>
    <n v="27"/>
    <n v="0.95"/>
    <n v="0"/>
    <n v="178"/>
    <n v="205.9453"/>
  </r>
  <r>
    <d v="2020-12-02T00:00:00"/>
    <x v="0"/>
    <x v="0"/>
    <n v="50"/>
    <n v="184.25"/>
    <n v="9212.5"/>
    <s v="20201202N200029677"/>
    <n v="2020232"/>
    <s v="Rolling"/>
    <s v="IN303028-51812720"/>
    <s v="NSE"/>
    <n v="9.2100000000000009"/>
    <n v="0.32"/>
    <n v="0"/>
    <n v="59.85"/>
    <n v="69.377799999999993"/>
  </r>
  <r>
    <d v="2020-12-02T00:00:00"/>
    <x v="18"/>
    <x v="0"/>
    <n v="10"/>
    <n v="898.3"/>
    <n v="8983"/>
    <s v="20201202N200030121"/>
    <n v="2020232"/>
    <s v="Rolling"/>
    <s v="IN303028-51812720"/>
    <s v="NSE"/>
    <n v="8.7899999999999991"/>
    <n v="0.31"/>
    <n v="0"/>
    <n v="58.36"/>
    <n v="67.459900000000005"/>
  </r>
  <r>
    <d v="2020-12-01T00:00:00"/>
    <x v="18"/>
    <x v="0"/>
    <n v="10"/>
    <n v="888.2"/>
    <n v="8882"/>
    <s v="20201201N200041821"/>
    <n v="2020231"/>
    <s v="Rolling"/>
    <s v="IN303028-51812720"/>
    <s v="NSE"/>
    <n v="8.8800000000000008"/>
    <n v="0.31"/>
    <n v="0"/>
    <n v="57.7"/>
    <n v="66.886399999999995"/>
  </r>
  <r>
    <d v="2020-12-01T00:00:00"/>
    <x v="19"/>
    <x v="0"/>
    <n v="10"/>
    <n v="539"/>
    <n v="5390"/>
    <s v="20201201N200042023"/>
    <n v="2020231"/>
    <s v="Rolling"/>
    <s v="IN303028-51812720"/>
    <s v="NSE"/>
    <n v="5.39"/>
    <n v="0.19"/>
    <n v="0"/>
    <n v="41.33"/>
    <n v="46.905999999999999"/>
  </r>
  <r>
    <d v="2020-12-01T00:00:00"/>
    <x v="0"/>
    <x v="0"/>
    <n v="50"/>
    <n v="179.5"/>
    <n v="8975"/>
    <s v="20201201N200042277"/>
    <n v="2020231"/>
    <s v="Rolling"/>
    <s v="IN303028-51812720"/>
    <s v="NSE"/>
    <n v="8.98"/>
    <n v="0.31"/>
    <n v="0"/>
    <n v="58.3"/>
    <n v="67.589699999999993"/>
  </r>
  <r>
    <d v="2020-12-01T00:00:00"/>
    <x v="8"/>
    <x v="1"/>
    <n v="5"/>
    <n v="2511"/>
    <n v="12555"/>
    <s v="20201201N200042581"/>
    <n v="2020231"/>
    <s v="Rolling"/>
    <s v="IN303028-51812720"/>
    <s v="NSE"/>
    <n v="12.56"/>
    <n v="0.43"/>
    <n v="2"/>
    <n v="81.56"/>
    <n v="96.553200000000004"/>
  </r>
  <r>
    <d v="2020-12-01T00:00:00"/>
    <x v="1"/>
    <x v="0"/>
    <n v="50"/>
    <n v="551.5"/>
    <n v="27575"/>
    <s v="20201201N200042652"/>
    <n v="2020231"/>
    <s v="Rolling"/>
    <s v="IN303028-51812720"/>
    <s v="NSE"/>
    <n v="27.2"/>
    <n v="0.95"/>
    <n v="0"/>
    <n v="179.13"/>
    <n v="207.28139999999999"/>
  </r>
  <r>
    <d v="2020-11-27T00:00:00"/>
    <x v="18"/>
    <x v="0"/>
    <n v="10"/>
    <n v="857.95"/>
    <n v="8579.5"/>
    <s v="20201127B700007762"/>
    <n v="202021168"/>
    <s v="Rolling"/>
    <s v="IN303028-51812720"/>
    <s v="BSE"/>
    <n v="9"/>
    <n v="0.24"/>
    <n v="0"/>
    <n v="55.72"/>
    <n v="64.9559"/>
  </r>
  <r>
    <d v="2020-11-27T00:00:00"/>
    <x v="10"/>
    <x v="0"/>
    <n v="20"/>
    <n v="450"/>
    <n v="9000"/>
    <s v="20201127N200030608"/>
    <n v="2020230"/>
    <s v="Rolling"/>
    <s v="IN303028-51812720"/>
    <s v="NSE"/>
    <n v="9"/>
    <n v="0.31"/>
    <n v="0"/>
    <n v="58.47"/>
    <n v="67.780500000000004"/>
  </r>
  <r>
    <d v="2020-11-26T00:00:00"/>
    <x v="16"/>
    <x v="0"/>
    <n v="100"/>
    <n v="144.19999999999999"/>
    <n v="14420"/>
    <s v="20201126N200009867"/>
    <n v="2020229"/>
    <s v="Rolling"/>
    <s v="IN303028-51812720"/>
    <s v="NSE"/>
    <n v="14.42"/>
    <n v="0.5"/>
    <n v="0"/>
    <n v="93.68"/>
    <n v="108.5975"/>
  </r>
  <r>
    <d v="2020-11-26T00:00:00"/>
    <x v="1"/>
    <x v="0"/>
    <n v="50"/>
    <n v="548.55999999999995"/>
    <n v="27428"/>
    <s v="20201126N200010052"/>
    <n v="2020229"/>
    <s v="Rolling"/>
    <s v="IN303028-51812720"/>
    <s v="NSE"/>
    <n v="27.08"/>
    <n v="0.95"/>
    <n v="0"/>
    <n v="178.18"/>
    <n v="206.2063"/>
  </r>
  <r>
    <d v="2020-11-26T00:00:00"/>
    <x v="10"/>
    <x v="0"/>
    <n v="25"/>
    <n v="419.9"/>
    <n v="10497.5"/>
    <s v="20201126N200011099"/>
    <n v="2020229"/>
    <s v="Rolling"/>
    <s v="IN303028-51812720"/>
    <s v="NSE"/>
    <n v="10.5"/>
    <n v="0.36"/>
    <n v="0"/>
    <n v="68.19"/>
    <n v="79.052099999999996"/>
  </r>
  <r>
    <d v="2020-11-23T00:00:00"/>
    <x v="1"/>
    <x v="0"/>
    <n v="50"/>
    <n v="522.9"/>
    <n v="26145"/>
    <s v="20201123N200036872"/>
    <n v="2020226"/>
    <s v="Rolling"/>
    <s v="IN303028-51812720"/>
    <s v="NSE"/>
    <n v="25.67"/>
    <n v="0.9"/>
    <n v="0"/>
    <n v="169.85"/>
    <n v="196.422"/>
  </r>
  <r>
    <d v="2020-11-23T00:00:00"/>
    <x v="4"/>
    <x v="1"/>
    <n v="20"/>
    <n v="509"/>
    <n v="10180"/>
    <s v="20201123N200037211"/>
    <n v="2020226"/>
    <s v="Rolling"/>
    <s v="IN303028-51812720"/>
    <s v="NSE"/>
    <n v="10.18"/>
    <n v="0.35"/>
    <n v="1.53"/>
    <n v="66.13"/>
    <n v="78.191199999999995"/>
  </r>
  <r>
    <d v="2020-11-23T00:00:00"/>
    <x v="8"/>
    <x v="1"/>
    <n v="5"/>
    <n v="2431"/>
    <n v="12155"/>
    <s v="20201123N200037307"/>
    <n v="2020226"/>
    <s v="Rolling"/>
    <s v="IN303028-51812720"/>
    <s v="NSE"/>
    <n v="12.16"/>
    <n v="0.42"/>
    <n v="1.47"/>
    <n v="78.959999999999994"/>
    <n v="93.009399999999999"/>
  </r>
  <r>
    <d v="2020-11-10T00:00:00"/>
    <x v="1"/>
    <x v="0"/>
    <n v="50"/>
    <n v="500.5"/>
    <n v="25025"/>
    <s v="20201110N200020399"/>
    <n v="2020217"/>
    <s v="Rolling"/>
    <s v="IN303028-51812720"/>
    <s v="NSE"/>
    <n v="25.03"/>
    <n v="0.86"/>
    <n v="0"/>
    <n v="162.57"/>
    <n v="188.4633"/>
  </r>
  <r>
    <d v="2020-11-10T00:00:00"/>
    <x v="8"/>
    <x v="1"/>
    <n v="5"/>
    <n v="2460.85"/>
    <n v="12304.25"/>
    <s v="20201110N200020515"/>
    <n v="2020217"/>
    <s v="Rolling"/>
    <s v="IN303028-51812720"/>
    <s v="NSE"/>
    <n v="12.22"/>
    <n v="0.42"/>
    <n v="0"/>
    <n v="79.930000000000007"/>
    <n v="92.5745"/>
  </r>
  <r>
    <d v="2020-11-10T00:00:00"/>
    <x v="8"/>
    <x v="1"/>
    <n v="5"/>
    <n v="2451"/>
    <n v="12255"/>
    <s v="20201110N200023393"/>
    <n v="2020217"/>
    <s v="Rolling"/>
    <s v="IN303028-51812720"/>
    <s v="NSE"/>
    <n v="12.22"/>
    <n v="0.42"/>
    <n v="5.79"/>
    <n v="79.61"/>
    <n v="98.0428"/>
  </r>
  <r>
    <d v="2020-11-10T00:00:00"/>
    <x v="8"/>
    <x v="1"/>
    <n v="5"/>
    <n v="2421"/>
    <n v="12105"/>
    <s v="20201110N200042753"/>
    <n v="2020217"/>
    <s v="Rolling"/>
    <s v="IN303028-51812720"/>
    <s v="NSE"/>
    <n v="12.22"/>
    <n v="0.42"/>
    <n v="0"/>
    <n v="78.64"/>
    <n v="91.277699999999996"/>
  </r>
  <r>
    <d v="2020-11-10T00:00:00"/>
    <x v="4"/>
    <x v="1"/>
    <n v="20"/>
    <n v="514"/>
    <n v="10280"/>
    <s v="20201110N200043601"/>
    <n v="2020217"/>
    <s v="Rolling"/>
    <s v="IN303028-51812720"/>
    <s v="NSE"/>
    <n v="10.18"/>
    <n v="0.35"/>
    <n v="1.54"/>
    <n v="66.78"/>
    <n v="78.854600000000005"/>
  </r>
  <r>
    <d v="2020-11-10T00:00:00"/>
    <x v="5"/>
    <x v="1"/>
    <n v="30"/>
    <n v="371"/>
    <n v="11130"/>
    <s v="20201110N200043677"/>
    <n v="2020217"/>
    <s v="Rolling"/>
    <s v="IN303028-51812720"/>
    <s v="NSE"/>
    <n v="11.13"/>
    <n v="0.38"/>
    <n v="1.67"/>
    <n v="72.3"/>
    <n v="85.483999999999995"/>
  </r>
  <r>
    <d v="2020-11-09T00:00:00"/>
    <x v="8"/>
    <x v="1"/>
    <n v="5"/>
    <n v="2501"/>
    <n v="12505"/>
    <s v="20201109N200008515"/>
    <n v="2020216"/>
    <s v="Rolling"/>
    <s v="IN303028-51812720"/>
    <s v="NSE"/>
    <n v="12.51"/>
    <n v="0.43"/>
    <n v="2"/>
    <n v="81.239999999999995"/>
    <n v="96.1815"/>
  </r>
  <r>
    <d v="2020-11-09T00:00:00"/>
    <x v="1"/>
    <x v="0"/>
    <n v="50"/>
    <n v="500"/>
    <n v="25000"/>
    <s v="20201109N200040686"/>
    <n v="2020216"/>
    <s v="Rolling"/>
    <s v="IN303028-51812720"/>
    <s v="NSE"/>
    <n v="25.5"/>
    <n v="0.86"/>
    <n v="0"/>
    <n v="162.47"/>
    <n v="188.8339"/>
  </r>
  <r>
    <d v="2020-11-06T00:00:00"/>
    <x v="1"/>
    <x v="0"/>
    <n v="50"/>
    <n v="504.53"/>
    <n v="25226.25"/>
    <s v="20201106N200006915"/>
    <n v="2020215"/>
    <s v="Rolling"/>
    <s v="IN303028-51812720"/>
    <s v="NSE"/>
    <n v="25.23"/>
    <n v="0.87"/>
    <n v="0"/>
    <n v="163.87"/>
    <n v="189.97030000000001"/>
  </r>
  <r>
    <d v="2020-11-06T00:00:00"/>
    <x v="20"/>
    <x v="1"/>
    <n v="100"/>
    <n v="112.2"/>
    <n v="11220"/>
    <s v="20201106N200031810"/>
    <n v="2020215"/>
    <s v="Rolling"/>
    <s v="IN303028-51812720"/>
    <s v="NSE"/>
    <n v="10.77"/>
    <n v="0.39"/>
    <n v="2"/>
    <n v="72.89"/>
    <n v="86.0471"/>
  </r>
  <r>
    <d v="2020-10-14T00:00:00"/>
    <x v="5"/>
    <x v="1"/>
    <n v="30"/>
    <n v="361.6"/>
    <n v="10848"/>
    <s v="20201014N200027701"/>
    <n v="2020198"/>
    <s v="Rolling"/>
    <s v="IN303028-51812720"/>
    <s v="NSE"/>
    <n v="11"/>
    <n v="0.37"/>
    <n v="2"/>
    <n v="70.47"/>
    <n v="83.844200000000001"/>
  </r>
  <r>
    <d v="2020-10-13T00:00:00"/>
    <x v="1"/>
    <x v="0"/>
    <n v="50"/>
    <n v="509"/>
    <n v="25450"/>
    <s v="20201013N200026782"/>
    <n v="2020197"/>
    <s v="Rolling"/>
    <s v="IN303028-51812720"/>
    <s v="NSE"/>
    <n v="25"/>
    <n v="0.88"/>
    <n v="0"/>
    <n v="165.33"/>
    <n v="191.208"/>
  </r>
  <r>
    <d v="2020-10-09T00:00:00"/>
    <x v="4"/>
    <x v="1"/>
    <n v="20"/>
    <n v="517"/>
    <n v="10340"/>
    <s v="20201009B700002810"/>
    <n v="202021133"/>
    <s v="Rolling"/>
    <s v="IN303028-51812720"/>
    <s v="BSE"/>
    <n v="10"/>
    <n v="0.28000000000000003"/>
    <n v="2"/>
    <n v="67.16"/>
    <n v="79.444400000000002"/>
  </r>
  <r>
    <d v="2020-10-06T00:00:00"/>
    <x v="5"/>
    <x v="1"/>
    <n v="30"/>
    <n v="369.2"/>
    <n v="11076"/>
    <s v="20201006N200037166"/>
    <n v="2020192"/>
    <s v="Rolling"/>
    <s v="IN303028-51812720"/>
    <s v="NSE"/>
    <n v="11"/>
    <n v="0.38"/>
    <n v="2"/>
    <n v="71.95"/>
    <n v="85.3322"/>
  </r>
  <r>
    <d v="2020-09-21T00:00:00"/>
    <x v="15"/>
    <x v="0"/>
    <n v="5"/>
    <n v="2358"/>
    <n v="11790"/>
    <s v="20200921N200004663"/>
    <n v="2020182"/>
    <s v="Rolling"/>
    <s v="IN303028-51812720"/>
    <s v="NSE"/>
    <n v="11.79"/>
    <n v="0.41"/>
    <n v="0"/>
    <n v="76.59"/>
    <n v="88.786799999999999"/>
  </r>
  <r>
    <d v="2020-09-21T00:00:00"/>
    <x v="4"/>
    <x v="1"/>
    <n v="20"/>
    <n v="501.7"/>
    <n v="10034"/>
    <s v="20200921N200028034"/>
    <n v="2020182"/>
    <s v="Rolling"/>
    <s v="IN303028-51812720"/>
    <s v="NSE"/>
    <n v="10.029999999999999"/>
    <n v="0.35"/>
    <n v="1.51"/>
    <n v="65.180000000000007"/>
    <n v="77.066199999999995"/>
  </r>
  <r>
    <d v="2020-09-21T00:00:00"/>
    <x v="5"/>
    <x v="1"/>
    <n v="30"/>
    <n v="356.8"/>
    <n v="10704"/>
    <s v="20200921N200028130"/>
    <n v="2020182"/>
    <s v="Rolling"/>
    <s v="IN303028-51812720"/>
    <s v="NSE"/>
    <n v="11.18"/>
    <n v="0.37"/>
    <n v="1.49"/>
    <n v="69.53"/>
    <n v="82.569199999999995"/>
  </r>
  <r>
    <d v="2020-09-09T00:00:00"/>
    <x v="5"/>
    <x v="1"/>
    <n v="30"/>
    <n v="361"/>
    <n v="10830"/>
    <s v="20200909N200017583"/>
    <n v="2020174"/>
    <s v="Rolling"/>
    <s v="IN303028-51812720"/>
    <s v="NSE"/>
    <n v="11"/>
    <n v="0.37"/>
    <n v="2"/>
    <n v="70.349999999999994"/>
    <n v="83.723600000000005"/>
  </r>
  <r>
    <d v="2020-09-01T00:00:00"/>
    <x v="12"/>
    <x v="0"/>
    <n v="5"/>
    <n v="3192.5"/>
    <n v="15962.5"/>
    <s v="20200901N200037788"/>
    <n v="2020168"/>
    <s v="Rolling"/>
    <s v="IN303028-51812720"/>
    <s v="NSE"/>
    <n v="15.96"/>
    <n v="0.55000000000000004"/>
    <n v="0"/>
    <n v="103.7"/>
    <n v="120.2107"/>
  </r>
  <r>
    <d v="2020-09-01T00:00:00"/>
    <x v="14"/>
    <x v="0"/>
    <n v="5"/>
    <n v="1979"/>
    <n v="9895"/>
    <s v="20200901N200038013"/>
    <n v="2020168"/>
    <s v="Rolling"/>
    <s v="IN303028-51812720"/>
    <s v="NSE"/>
    <n v="9.56"/>
    <n v="0.34"/>
    <n v="0"/>
    <n v="64.28"/>
    <n v="74.181299999999993"/>
  </r>
  <r>
    <d v="2020-09-01T00:00:00"/>
    <x v="21"/>
    <x v="1"/>
    <n v="50"/>
    <n v="189.5"/>
    <n v="9475"/>
    <s v="20200901N200038160"/>
    <n v="2020168"/>
    <s v="Rolling"/>
    <s v="IN303028-51812720"/>
    <s v="NSE"/>
    <n v="9.48"/>
    <n v="0.33"/>
    <n v="1"/>
    <n v="61.55"/>
    <n v="72.356899999999996"/>
  </r>
  <r>
    <d v="2020-08-31T00:00:00"/>
    <x v="5"/>
    <x v="1"/>
    <n v="30"/>
    <n v="365.2"/>
    <n v="10956"/>
    <s v="20200831N200065635"/>
    <n v="2020167"/>
    <s v="Rolling"/>
    <s v="IN303028-51812720"/>
    <s v="NSE"/>
    <n v="10.96"/>
    <n v="0.38"/>
    <n v="1.26"/>
    <n v="71.17"/>
    <n v="83.768000000000001"/>
  </r>
  <r>
    <d v="2020-08-31T00:00:00"/>
    <x v="4"/>
    <x v="1"/>
    <n v="20"/>
    <n v="476.35"/>
    <n v="9527"/>
    <s v="20200831N200065851"/>
    <n v="2020167"/>
    <s v="Rolling"/>
    <s v="IN303028-51812720"/>
    <s v="NSE"/>
    <n v="9.2799999999999994"/>
    <n v="0.33"/>
    <n v="1.43"/>
    <n v="61.89"/>
    <n v="72.928700000000006"/>
  </r>
  <r>
    <d v="2020-08-31T00:00:00"/>
    <x v="3"/>
    <x v="1"/>
    <n v="5"/>
    <n v="1752.1"/>
    <n v="8760.5"/>
    <s v="20200831N200066301"/>
    <n v="2020167"/>
    <s v="Rolling"/>
    <s v="IN303028-51812720"/>
    <s v="NSE"/>
    <n v="8.76"/>
    <n v="0.3"/>
    <n v="1.31"/>
    <n v="56.91"/>
    <n v="67.282300000000006"/>
  </r>
  <r>
    <d v="2020-08-28T00:00:00"/>
    <x v="15"/>
    <x v="0"/>
    <n v="5"/>
    <n v="2145"/>
    <n v="10725"/>
    <s v="20200828N200032973"/>
    <n v="2020166"/>
    <s v="Rolling"/>
    <s v="IN303028-51812720"/>
    <s v="NSE"/>
    <n v="11.16"/>
    <n v="0.37"/>
    <n v="0"/>
    <n v="69.67"/>
    <n v="81.200100000000006"/>
  </r>
  <r>
    <d v="2020-08-28T00:00:00"/>
    <x v="4"/>
    <x v="1"/>
    <n v="20"/>
    <n v="491.9"/>
    <n v="9838"/>
    <s v="20200828N200033296"/>
    <n v="2020166"/>
    <s v="Rolling"/>
    <s v="IN303028-51812720"/>
    <s v="NSE"/>
    <n v="9.84"/>
    <n v="0.34"/>
    <n v="1"/>
    <n v="63.91"/>
    <n v="75.089399999999998"/>
  </r>
  <r>
    <d v="2020-08-18T00:00:00"/>
    <x v="22"/>
    <x v="1"/>
    <n v="5"/>
    <n v="1881"/>
    <n v="9405"/>
    <s v="20200818N200015958"/>
    <n v="2020158"/>
    <s v="Rolling"/>
    <s v="IN303028-51812720"/>
    <s v="NSE"/>
    <n v="9.41"/>
    <n v="0.32"/>
    <n v="1"/>
    <n v="61.1"/>
    <n v="71.834500000000006"/>
  </r>
  <r>
    <d v="2020-08-18T00:00:00"/>
    <x v="12"/>
    <x v="0"/>
    <n v="5"/>
    <n v="3124"/>
    <n v="15620"/>
    <s v="20200818N200017142"/>
    <n v="2020158"/>
    <s v="Rolling"/>
    <s v="IN303028-51812720"/>
    <s v="NSE"/>
    <n v="15.6"/>
    <n v="0.54"/>
    <n v="0"/>
    <n v="101.47"/>
    <n v="117.60890000000001"/>
  </r>
  <r>
    <d v="2020-08-12T00:00:00"/>
    <x v="15"/>
    <x v="0"/>
    <n v="5"/>
    <n v="1894"/>
    <n v="9470"/>
    <s v="20200812N200019335"/>
    <n v="2020154"/>
    <s v="Rolling"/>
    <s v="IN303028-51812720"/>
    <s v="NSE"/>
    <n v="9.4700000000000006"/>
    <n v="0.33"/>
    <n v="0"/>
    <n v="61.52"/>
    <n v="71.316699999999997"/>
  </r>
  <r>
    <d v="2020-08-12T00:00:00"/>
    <x v="4"/>
    <x v="1"/>
    <n v="20"/>
    <n v="503.9"/>
    <n v="10078"/>
    <s v="20200812N200039676"/>
    <n v="2020154"/>
    <s v="Rolling"/>
    <s v="IN303028-51812720"/>
    <s v="NSE"/>
    <n v="10.53"/>
    <n v="0.35"/>
    <n v="2"/>
    <n v="65.47"/>
    <n v="78.347800000000007"/>
  </r>
  <r>
    <d v="2020-08-05T00:00:00"/>
    <x v="5"/>
    <x v="1"/>
    <n v="30"/>
    <n v="363.95"/>
    <n v="10918.5"/>
    <s v="20200805B700007303"/>
    <n v="202021087"/>
    <s v="Rolling"/>
    <s v="IN303028-51812720"/>
    <s v="BSE"/>
    <n v="11"/>
    <n v="0.3"/>
    <n v="2"/>
    <n v="70.92"/>
    <n v="84.220299999999995"/>
  </r>
  <r>
    <d v="2020-08-05T00:00:00"/>
    <x v="14"/>
    <x v="0"/>
    <n v="5"/>
    <n v="1739"/>
    <n v="8695"/>
    <s v="20200805N200018627"/>
    <n v="2020149"/>
    <s v="Rolling"/>
    <s v="IN303028-51812720"/>
    <s v="NSE"/>
    <n v="8.6999999999999993"/>
    <n v="0.3"/>
    <n v="0"/>
    <n v="56.48"/>
    <n v="65.479900000000001"/>
  </r>
  <r>
    <d v="2020-08-05T00:00:00"/>
    <x v="10"/>
    <x v="0"/>
    <n v="15"/>
    <n v="409"/>
    <n v="6135"/>
    <s v="20200805N200018736"/>
    <n v="2020149"/>
    <s v="Rolling"/>
    <s v="IN303028-51812720"/>
    <s v="NSE"/>
    <n v="6.51"/>
    <n v="0.21"/>
    <n v="0"/>
    <n v="41.34"/>
    <n v="48.061700000000002"/>
  </r>
  <r>
    <d v="2020-08-05T00:00:00"/>
    <x v="23"/>
    <x v="0"/>
    <n v="10"/>
    <n v="949"/>
    <n v="9490"/>
    <s v="20200805N200019188"/>
    <n v="2020149"/>
    <s v="Rolling"/>
    <s v="IN303028-51812720"/>
    <s v="NSE"/>
    <n v="9.49"/>
    <n v="0.33"/>
    <n v="0"/>
    <n v="61.65"/>
    <n v="71.467399999999998"/>
  </r>
  <r>
    <d v="2020-08-05T00:00:00"/>
    <x v="15"/>
    <x v="0"/>
    <n v="5"/>
    <n v="1849"/>
    <n v="9245"/>
    <s v="20200805N200020351"/>
    <n v="2020149"/>
    <s v="Rolling"/>
    <s v="IN303028-51812720"/>
    <s v="NSE"/>
    <n v="9.25"/>
    <n v="0.32"/>
    <n v="0"/>
    <n v="60.06"/>
    <n v="69.628900000000002"/>
  </r>
  <r>
    <d v="2020-08-05T00:00:00"/>
    <x v="4"/>
    <x v="1"/>
    <n v="20"/>
    <n v="502.9"/>
    <n v="10058"/>
    <s v="20200805N200042500"/>
    <n v="2020149"/>
    <s v="Rolling"/>
    <s v="IN303028-51812720"/>
    <s v="NSE"/>
    <n v="10.06"/>
    <n v="0.35"/>
    <n v="2"/>
    <n v="65.34"/>
    <n v="77.747"/>
  </r>
  <r>
    <d v="2020-08-04T00:00:00"/>
    <x v="15"/>
    <x v="0"/>
    <n v="5"/>
    <n v="1796"/>
    <n v="8980"/>
    <s v="20200804N200024561"/>
    <n v="2020148"/>
    <s v="Rolling"/>
    <s v="IN303028-51812720"/>
    <s v="NSE"/>
    <n v="9"/>
    <n v="0.31"/>
    <n v="0"/>
    <n v="58.34"/>
    <n v="67.649799999999999"/>
  </r>
  <r>
    <d v="2020-08-04T00:00:00"/>
    <x v="15"/>
    <x v="0"/>
    <n v="5"/>
    <n v="1803.2"/>
    <n v="9016"/>
    <s v="20200804N200042945"/>
    <n v="2020148"/>
    <s v="Rolling"/>
    <s v="IN303028-51812720"/>
    <s v="NSE"/>
    <n v="9"/>
    <n v="0.31"/>
    <n v="0"/>
    <n v="58.57"/>
    <n v="67.881"/>
  </r>
  <r>
    <d v="2020-08-03T00:00:00"/>
    <x v="15"/>
    <x v="0"/>
    <n v="5"/>
    <n v="1779.5"/>
    <n v="8897.5"/>
    <s v="20200803N200025723"/>
    <n v="2020147"/>
    <s v="Rolling"/>
    <s v="IN303028-51812720"/>
    <s v="NSE"/>
    <n v="8.74"/>
    <n v="0.31"/>
    <n v="0"/>
    <n v="57.8"/>
    <n v="66.846999999999994"/>
  </r>
  <r>
    <d v="2020-08-03T00:00:00"/>
    <x v="4"/>
    <x v="1"/>
    <n v="20"/>
    <n v="513"/>
    <n v="10260"/>
    <s v="20200803N200026006"/>
    <n v="2020147"/>
    <s v="Rolling"/>
    <s v="IN303028-51812720"/>
    <s v="NSE"/>
    <n v="10.26"/>
    <n v="0.35"/>
    <n v="2"/>
    <n v="66.650000000000006"/>
    <n v="79.263900000000007"/>
  </r>
  <r>
    <d v="2020-07-29T00:00:00"/>
    <x v="5"/>
    <x v="1"/>
    <n v="30"/>
    <n v="361"/>
    <n v="10830"/>
    <s v="20200729N200021245"/>
    <n v="2020144"/>
    <s v="Rolling"/>
    <s v="IN303028-51812720"/>
    <s v="NSE"/>
    <n v="11"/>
    <n v="0.37"/>
    <n v="2"/>
    <n v="70.349999999999994"/>
    <n v="83.723600000000005"/>
  </r>
  <r>
    <d v="2020-07-22T00:00:00"/>
    <x v="4"/>
    <x v="1"/>
    <n v="20"/>
    <n v="483.5"/>
    <n v="9670"/>
    <s v="20200722N200041058"/>
    <n v="2020139"/>
    <s v="Rolling"/>
    <s v="IN303028-51812720"/>
    <s v="NSE"/>
    <n v="9.4600000000000009"/>
    <n v="0.33"/>
    <n v="1.45"/>
    <n v="62.82"/>
    <n v="74.063599999999994"/>
  </r>
  <r>
    <d v="2020-07-22T00:00:00"/>
    <x v="5"/>
    <x v="1"/>
    <n v="30"/>
    <n v="351.2"/>
    <n v="10536"/>
    <s v="20200722N200041143"/>
    <n v="2020139"/>
    <s v="Rolling"/>
    <s v="IN303028-51812720"/>
    <s v="NSE"/>
    <n v="10.54"/>
    <n v="0.36"/>
    <n v="1.55"/>
    <n v="68.44"/>
    <n v="80.893500000000003"/>
  </r>
  <r>
    <d v="2020-07-15T00:00:00"/>
    <x v="15"/>
    <x v="0"/>
    <n v="5"/>
    <n v="1705.5"/>
    <n v="8527.5"/>
    <s v="20200715B700003546"/>
    <n v="202021072"/>
    <s v="Rolling"/>
    <s v="IN303028-51812720"/>
    <s v="BSE"/>
    <n v="9"/>
    <n v="0.23"/>
    <n v="0"/>
    <n v="55.39"/>
    <n v="64.624499999999998"/>
  </r>
  <r>
    <d v="2020-07-13T00:00:00"/>
    <x v="15"/>
    <x v="0"/>
    <n v="5"/>
    <n v="1635"/>
    <n v="8175"/>
    <s v="20200713N200045019"/>
    <n v="2020132"/>
    <s v="Rolling"/>
    <s v="IN303028-51812720"/>
    <s v="NSE"/>
    <n v="8"/>
    <n v="0.28000000000000003"/>
    <n v="0"/>
    <n v="53.11"/>
    <n v="61.392099999999999"/>
  </r>
  <r>
    <d v="2020-07-08T00:00:00"/>
    <x v="4"/>
    <x v="1"/>
    <n v="20"/>
    <n v="473.5"/>
    <n v="9470"/>
    <s v="20200708N200031655"/>
    <n v="2020129"/>
    <s v="Rolling"/>
    <s v="IN303028-51812720"/>
    <s v="NSE"/>
    <n v="9"/>
    <n v="0.33"/>
    <n v="1"/>
    <n v="61.52"/>
    <n v="71.846699999999998"/>
  </r>
  <r>
    <d v="2020-07-07T00:00:00"/>
    <x v="15"/>
    <x v="0"/>
    <n v="5"/>
    <n v="1769"/>
    <n v="8845"/>
    <s v="20200707N200008193"/>
    <n v="2020128"/>
    <s v="Rolling"/>
    <s v="IN303028-51812720"/>
    <s v="NSE"/>
    <n v="8.6300000000000008"/>
    <n v="0.31"/>
    <n v="0"/>
    <n v="57.46"/>
    <n v="66.395099999999999"/>
  </r>
  <r>
    <d v="2020-07-07T00:00:00"/>
    <x v="5"/>
    <x v="1"/>
    <n v="30"/>
    <n v="352"/>
    <n v="10560"/>
    <s v="20200707N200008964"/>
    <n v="2020128"/>
    <s v="Rolling"/>
    <s v="IN303028-51812720"/>
    <s v="NSE"/>
    <n v="10.56"/>
    <n v="0.36"/>
    <n v="2"/>
    <n v="68.599999999999994"/>
    <n v="81.524299999999997"/>
  </r>
  <r>
    <d v="2020-07-07T00:00:00"/>
    <x v="15"/>
    <x v="0"/>
    <n v="5"/>
    <n v="1756"/>
    <n v="8780"/>
    <s v="20200707N200046444"/>
    <n v="2020128"/>
    <s v="Rolling"/>
    <s v="IN303028-51812720"/>
    <s v="NSE"/>
    <n v="8.81"/>
    <n v="0.3"/>
    <n v="0"/>
    <n v="57.04"/>
    <n v="66.152900000000002"/>
  </r>
  <r>
    <d v="2020-07-06T00:00:00"/>
    <x v="15"/>
    <x v="0"/>
    <n v="5"/>
    <n v="1735"/>
    <n v="8675"/>
    <s v="20200706N200034879"/>
    <n v="2020127"/>
    <s v="Rolling"/>
    <s v="IN303028-51812720"/>
    <s v="NSE"/>
    <n v="8.68"/>
    <n v="0.3"/>
    <n v="0"/>
    <n v="56.35"/>
    <n v="65.329300000000003"/>
  </r>
  <r>
    <d v="2020-07-06T00:00:00"/>
    <x v="18"/>
    <x v="0"/>
    <n v="10"/>
    <n v="505"/>
    <n v="5050"/>
    <s v="20200706N200037115"/>
    <n v="2020127"/>
    <s v="Rolling"/>
    <s v="IN303028-51812720"/>
    <s v="NSE"/>
    <n v="5.49"/>
    <n v="0.17"/>
    <n v="0"/>
    <n v="41.33"/>
    <n v="46.994199999999999"/>
  </r>
  <r>
    <d v="2020-07-06T00:00:00"/>
    <x v="5"/>
    <x v="1"/>
    <n v="30"/>
    <n v="351"/>
    <n v="10530"/>
    <s v="20200706N200038941"/>
    <n v="2020127"/>
    <s v="Rolling"/>
    <s v="IN303028-51812720"/>
    <s v="NSE"/>
    <n v="10.53"/>
    <n v="0.36"/>
    <n v="1.6"/>
    <n v="68.41"/>
    <n v="80.903300000000002"/>
  </r>
  <r>
    <d v="2020-07-06T00:00:00"/>
    <x v="4"/>
    <x v="1"/>
    <n v="20"/>
    <n v="465.5"/>
    <n v="9310"/>
    <s v="20200706N200039191"/>
    <n v="2020127"/>
    <s v="Rolling"/>
    <s v="IN303028-51812720"/>
    <s v="NSE"/>
    <n v="9.31"/>
    <n v="0.32"/>
    <n v="1.4"/>
    <n v="60.48"/>
    <n v="71.511300000000006"/>
  </r>
  <r>
    <d v="2020-07-03T00:00:00"/>
    <x v="15"/>
    <x v="0"/>
    <n v="5"/>
    <n v="1754"/>
    <n v="8770"/>
    <s v="20200703N200017477"/>
    <n v="2020126"/>
    <s v="Rolling"/>
    <s v="IN303028-51812720"/>
    <s v="NSE"/>
    <n v="9"/>
    <n v="0.3"/>
    <n v="0"/>
    <n v="56.97"/>
    <n v="66.272599999999997"/>
  </r>
  <r>
    <d v="2020-07-02T00:00:00"/>
    <x v="15"/>
    <x v="0"/>
    <n v="5"/>
    <n v="1712"/>
    <n v="8560"/>
    <s v="20200702B700004632"/>
    <n v="202021063"/>
    <s v="Rolling"/>
    <s v="IN303028-51812720"/>
    <s v="BSE"/>
    <n v="9"/>
    <n v="0.24"/>
    <n v="0"/>
    <n v="55.6"/>
    <n v="64.835400000000007"/>
  </r>
  <r>
    <d v="2020-07-02T00:00:00"/>
    <x v="15"/>
    <x v="0"/>
    <n v="5"/>
    <n v="1708"/>
    <n v="8540"/>
    <s v="20200702N200018979"/>
    <n v="2020125"/>
    <s v="Rolling"/>
    <s v="IN303028-51812720"/>
    <s v="NSE"/>
    <n v="8.41"/>
    <n v="0.28999999999999998"/>
    <n v="0"/>
    <n v="55.48"/>
    <n v="64.184700000000007"/>
  </r>
  <r>
    <d v="2020-07-02T00:00:00"/>
    <x v="15"/>
    <x v="0"/>
    <n v="5"/>
    <n v="1729"/>
    <n v="8645"/>
    <s v="20200702N200034909"/>
    <n v="2020125"/>
    <s v="Rolling"/>
    <s v="IN303028-51812720"/>
    <s v="NSE"/>
    <n v="8.59"/>
    <n v="0.3"/>
    <n v="0"/>
    <n v="56.16"/>
    <n v="65.048199999999994"/>
  </r>
  <r>
    <d v="2020-06-23T00:00:00"/>
    <x v="24"/>
    <x v="0"/>
    <n v="10"/>
    <n v="705"/>
    <n v="7050"/>
    <s v="20200623N200015308"/>
    <n v="2020118"/>
    <s v="Rolling"/>
    <s v="IN303028-51812720"/>
    <s v="NSE"/>
    <n v="7"/>
    <n v="0.24"/>
    <n v="1"/>
    <n v="45.8"/>
    <n v="54.043199999999999"/>
  </r>
  <r>
    <d v="2020-06-09T00:00:00"/>
    <x v="3"/>
    <x v="1"/>
    <n v="5"/>
    <n v="1455"/>
    <n v="7275"/>
    <s v="20200609N200036212"/>
    <n v="2020108"/>
    <s v="Rolling"/>
    <s v="IN303028-51812720"/>
    <s v="NSE"/>
    <n v="7"/>
    <n v="0.25"/>
    <n v="1"/>
    <n v="47.26"/>
    <n v="55.511000000000003"/>
  </r>
  <r>
    <d v="2020-05-29T00:00:00"/>
    <x v="12"/>
    <x v="0"/>
    <n v="4"/>
    <n v="2401.04"/>
    <n v="9604.15"/>
    <s v="20200529B700009083"/>
    <n v="202021039"/>
    <s v="Rolling"/>
    <s v="IN303028-51812720"/>
    <s v="BSE"/>
    <n v="10"/>
    <n v="0.27"/>
    <n v="1"/>
    <n v="62.37"/>
    <n v="73.638900000000007"/>
  </r>
  <r>
    <d v="2020-05-29T00:00:00"/>
    <x v="3"/>
    <x v="1"/>
    <n v="5"/>
    <n v="1361.3"/>
    <n v="6806.5"/>
    <s v="20200529N200048829"/>
    <n v="2020101"/>
    <s v="Rolling"/>
    <s v="IN303028-51812720"/>
    <s v="NSE"/>
    <n v="7"/>
    <n v="0.15"/>
    <n v="1"/>
    <n v="44.2"/>
    <n v="52.349699999999999"/>
  </r>
  <r>
    <d v="2020-05-28T00:00:00"/>
    <x v="9"/>
    <x v="0"/>
    <n v="5"/>
    <n v="2557"/>
    <n v="12785"/>
    <s v="20200528B700002697"/>
    <n v="202021038"/>
    <s v="Rolling"/>
    <s v="IN303028-51812720"/>
    <s v="BSE"/>
    <n v="13"/>
    <n v="0.36"/>
    <n v="2"/>
    <n v="83.04"/>
    <n v="98.397999999999996"/>
  </r>
  <r>
    <d v="2020-05-28T00:00:00"/>
    <x v="20"/>
    <x v="1"/>
    <n v="50"/>
    <n v="114.5"/>
    <n v="5725"/>
    <s v="20200528N200033115"/>
    <n v="2020100"/>
    <s v="Rolling"/>
    <s v="IN303028-51812720"/>
    <s v="NSE"/>
    <n v="6"/>
    <n v="0.13"/>
    <n v="1"/>
    <n v="41.33"/>
    <n v="48.456099999999999"/>
  </r>
  <r>
    <d v="2020-05-26T00:00:00"/>
    <x v="25"/>
    <x v="1"/>
    <n v="5"/>
    <n v="1991"/>
    <n v="9955"/>
    <s v="20200526N200015916"/>
    <n v="2020098"/>
    <s v="Rolling"/>
    <s v="IN303028-51812720"/>
    <s v="NSE"/>
    <n v="10"/>
    <n v="0.22"/>
    <n v="1"/>
    <n v="64.650000000000006"/>
    <n v="75.869100000000003"/>
  </r>
  <r>
    <d v="2020-05-22T00:00:00"/>
    <x v="15"/>
    <x v="0"/>
    <n v="5"/>
    <n v="1626.15"/>
    <n v="8130.75"/>
    <s v="20200522N200032076"/>
    <n v="2020097"/>
    <s v="Rolling"/>
    <s v="IN303028-51812720"/>
    <s v="NSE"/>
    <n v="8"/>
    <n v="0.18"/>
    <n v="1"/>
    <n v="52.8"/>
    <n v="61.9788"/>
  </r>
  <r>
    <d v="2020-05-19T00:00:00"/>
    <x v="15"/>
    <x v="0"/>
    <n v="5"/>
    <n v="1576.7"/>
    <n v="7883.5"/>
    <s v="20200519B700002637"/>
    <n v="202021032"/>
    <s v="Rolling"/>
    <s v="IN303028-51812720"/>
    <s v="BSE"/>
    <n v="8"/>
    <n v="0.22"/>
    <n v="1"/>
    <n v="51.2"/>
    <n v="60.4208"/>
  </r>
  <r>
    <d v="2020-05-19T00:00:00"/>
    <x v="9"/>
    <x v="0"/>
    <n v="8"/>
    <n v="2475"/>
    <n v="19800"/>
    <s v="20200519N200014130"/>
    <n v="2020094"/>
    <s v="Rolling"/>
    <s v="IN303028-51812720"/>
    <s v="NSE"/>
    <n v="20"/>
    <n v="0.44"/>
    <n v="2"/>
    <n v="128.58000000000001"/>
    <n v="151.01560000000001"/>
  </r>
  <r>
    <d v="2020-05-18T00:00:00"/>
    <x v="15"/>
    <x v="0"/>
    <n v="5"/>
    <n v="1679"/>
    <n v="8395"/>
    <s v="20200518N200003841"/>
    <n v="2020093"/>
    <s v="Rolling"/>
    <s v="IN303028-51812720"/>
    <s v="NSE"/>
    <n v="8.31"/>
    <n v="0.18"/>
    <n v="0"/>
    <n v="54.52"/>
    <n v="63.014699999999998"/>
  </r>
  <r>
    <d v="2020-05-18T00:00:00"/>
    <x v="9"/>
    <x v="0"/>
    <n v="5"/>
    <n v="2509"/>
    <n v="12545"/>
    <s v="20200518N200004396"/>
    <n v="2020093"/>
    <s v="Rolling"/>
    <s v="IN303028-51812720"/>
    <s v="NSE"/>
    <n v="12.38"/>
    <n v="0.28000000000000003"/>
    <n v="3"/>
    <n v="81.47"/>
    <n v="97.125900000000001"/>
  </r>
  <r>
    <d v="2020-05-18T00:00:00"/>
    <x v="15"/>
    <x v="0"/>
    <n v="5"/>
    <n v="1646"/>
    <n v="8230"/>
    <s v="20200518N200011883"/>
    <n v="2020093"/>
    <s v="Rolling"/>
    <s v="IN303028-51812720"/>
    <s v="NSE"/>
    <n v="8.31"/>
    <n v="0.18"/>
    <n v="0"/>
    <n v="53.45"/>
    <n v="61.941000000000003"/>
  </r>
  <r>
    <d v="2020-05-13T00:00:00"/>
    <x v="12"/>
    <x v="0"/>
    <n v="5"/>
    <n v="2332"/>
    <n v="11660"/>
    <s v="20200513B700004480"/>
    <n v="202021028"/>
    <s v="Rolling"/>
    <s v="IN303028-51812720"/>
    <s v="BSE"/>
    <n v="11.27"/>
    <n v="0.33"/>
    <n v="6"/>
    <n v="75.73"/>
    <n v="93.326499999999996"/>
  </r>
  <r>
    <d v="2020-05-13T00:00:00"/>
    <x v="9"/>
    <x v="0"/>
    <n v="5"/>
    <n v="2602"/>
    <n v="13010"/>
    <s v="20200513B700008381"/>
    <n v="202021028"/>
    <s v="Rolling"/>
    <s v="IN303028-51812720"/>
    <s v="BSE"/>
    <n v="13.01"/>
    <n v="0.36"/>
    <n v="0"/>
    <n v="84.5"/>
    <n v="97.874399999999994"/>
  </r>
  <r>
    <d v="2020-05-13T00:00:00"/>
    <x v="15"/>
    <x v="0"/>
    <n v="5"/>
    <n v="1698.3"/>
    <n v="8491.5"/>
    <s v="20200513B700009551"/>
    <n v="202021028"/>
    <s v="Rolling"/>
    <s v="IN303028-51812720"/>
    <s v="BSE"/>
    <n v="8.52"/>
    <n v="0.24"/>
    <n v="0"/>
    <n v="55.15"/>
    <n v="63.907800000000002"/>
  </r>
  <r>
    <d v="2020-05-13T00:00:00"/>
    <x v="12"/>
    <x v="0"/>
    <n v="5"/>
    <n v="2339.5"/>
    <n v="11697.5"/>
    <s v="20200513B700009580"/>
    <n v="202021028"/>
    <s v="Rolling"/>
    <s v="IN303028-51812720"/>
    <s v="BSE"/>
    <n v="11.68"/>
    <n v="0.33"/>
    <n v="0"/>
    <n v="75.98"/>
    <n v="87.987499999999997"/>
  </r>
  <r>
    <d v="2020-05-13T00:00:00"/>
    <x v="15"/>
    <x v="0"/>
    <n v="5"/>
    <n v="1709.5"/>
    <n v="8547.5"/>
    <s v="20200513B700009629"/>
    <n v="202021028"/>
    <s v="Rolling"/>
    <s v="IN303028-51812720"/>
    <s v="BSE"/>
    <n v="8.52"/>
    <n v="0.24"/>
    <n v="0"/>
    <n v="55.52"/>
    <n v="64.279300000000006"/>
  </r>
  <r>
    <d v="2020-05-13T00:00:00"/>
    <x v="9"/>
    <x v="0"/>
    <n v="5"/>
    <n v="2610.5"/>
    <n v="13052.5"/>
    <s v="20200513N200022732"/>
    <n v="2020090"/>
    <s v="Rolling"/>
    <s v="IN303028-51812720"/>
    <s v="NSE"/>
    <n v="13.08"/>
    <n v="0.28999999999999998"/>
    <n v="0"/>
    <n v="84.75"/>
    <n v="98.117000000000004"/>
  </r>
  <r>
    <d v="2020-05-13T00:00:00"/>
    <x v="15"/>
    <x v="0"/>
    <n v="5"/>
    <n v="1649"/>
    <n v="8245"/>
    <s v="20200513N200022913"/>
    <n v="2020090"/>
    <s v="Rolling"/>
    <s v="IN303028-51812720"/>
    <s v="NSE"/>
    <n v="8.58"/>
    <n v="0.18"/>
    <n v="5"/>
    <n v="53.54"/>
    <n v="67.301299999999998"/>
  </r>
  <r>
    <d v="2020-05-13T00:00:00"/>
    <x v="15"/>
    <x v="0"/>
    <n v="5"/>
    <n v="1659"/>
    <n v="8295"/>
    <s v="20200513N200046088"/>
    <n v="2020090"/>
    <s v="Rolling"/>
    <s v="IN303028-51812720"/>
    <s v="NSE"/>
    <n v="8.27"/>
    <n v="0.18"/>
    <n v="0"/>
    <n v="53.87"/>
    <n v="62.322499999999998"/>
  </r>
  <r>
    <d v="2020-05-13T00:00:00"/>
    <x v="9"/>
    <x v="0"/>
    <n v="5"/>
    <n v="2620"/>
    <n v="13100"/>
    <s v="20200513N200053695"/>
    <n v="2020090"/>
    <s v="Rolling"/>
    <s v="IN303028-51812720"/>
    <s v="NSE"/>
    <n v="13.08"/>
    <n v="0.28999999999999998"/>
    <n v="0"/>
    <n v="85.07"/>
    <n v="98.438199999999995"/>
  </r>
  <r>
    <d v="2020-05-08T00:00:00"/>
    <x v="15"/>
    <x v="0"/>
    <n v="5"/>
    <n v="1599"/>
    <n v="7995"/>
    <s v="20200508N200012258"/>
    <n v="2020087"/>
    <s v="Rolling"/>
    <s v="IN303028-51812720"/>
    <s v="NSE"/>
    <n v="8"/>
    <n v="0.18"/>
    <n v="1"/>
    <n v="51.92"/>
    <n v="61.0959"/>
  </r>
  <r>
    <d v="2020-04-22T00:00:00"/>
    <x v="20"/>
    <x v="1"/>
    <n v="50"/>
    <n v="114.9"/>
    <n v="5745"/>
    <s v="20200422B700007436"/>
    <n v="202021014"/>
    <s v="Rolling"/>
    <s v="IN303028-51812720"/>
    <s v="BSE"/>
    <n v="6"/>
    <n v="0.16"/>
    <n v="1"/>
    <n v="41.33"/>
    <n v="48.4908"/>
  </r>
  <r>
    <d v="2020-04-15T00:00:00"/>
    <x v="0"/>
    <x v="1"/>
    <n v="100"/>
    <n v="75.2"/>
    <n v="7520"/>
    <s v="20200415N200041594"/>
    <n v="2020071"/>
    <s v="Rolling"/>
    <s v="IN303028-51812720"/>
    <s v="NSE"/>
    <n v="7.2"/>
    <n v="0.17"/>
    <n v="3"/>
    <n v="48.84"/>
    <n v="59.205399999999997"/>
  </r>
  <r>
    <d v="2020-04-15T00:00:00"/>
    <x v="26"/>
    <x v="1"/>
    <n v="1"/>
    <n v="16801"/>
    <n v="16801"/>
    <s v="20200415N200042254"/>
    <n v="2020071"/>
    <s v="Rolling"/>
    <s v="IN303028-51812720"/>
    <s v="NSE"/>
    <n v="16.8"/>
    <n v="0.37"/>
    <n v="0"/>
    <n v="109.11"/>
    <n v="126.2796"/>
  </r>
  <r>
    <d v="2020-04-13T00:00:00"/>
    <x v="27"/>
    <x v="0"/>
    <n v="6"/>
    <n v="1615"/>
    <n v="9690"/>
    <s v="20200413N200003360"/>
    <n v="2020070"/>
    <s v="Rolling"/>
    <s v="IN303028-51812720"/>
    <s v="NSE"/>
    <n v="9.85"/>
    <n v="0.21"/>
    <n v="4"/>
    <n v="62.92"/>
    <n v="76.983000000000004"/>
  </r>
  <r>
    <d v="2020-04-13T00:00:00"/>
    <x v="26"/>
    <x v="1"/>
    <n v="1"/>
    <n v="17051"/>
    <n v="17051"/>
    <s v="20200413N200007803"/>
    <n v="2020070"/>
    <s v="Rolling"/>
    <s v="IN303028-51812720"/>
    <s v="NSE"/>
    <n v="17.05"/>
    <n v="0.38"/>
    <n v="0"/>
    <n v="110.73"/>
    <n v="128.15520000000001"/>
  </r>
  <r>
    <d v="2020-04-13T00:00:00"/>
    <x v="27"/>
    <x v="0"/>
    <n v="5"/>
    <n v="1625"/>
    <n v="8125"/>
    <s v="20200413N200036111"/>
    <n v="2020070"/>
    <s v="Rolling"/>
    <s v="IN303028-51812720"/>
    <s v="NSE"/>
    <n v="8.1"/>
    <n v="0.18"/>
    <n v="0"/>
    <n v="52.76"/>
    <n v="61.038699999999999"/>
  </r>
  <r>
    <d v="2020-04-09T00:00:00"/>
    <x v="27"/>
    <x v="0"/>
    <n v="4"/>
    <n v="1659"/>
    <n v="6636"/>
    <s v="20200409N200014683"/>
    <n v="2020069"/>
    <s v="Rolling"/>
    <s v="IN303028-51812720"/>
    <s v="NSE"/>
    <n v="7"/>
    <n v="0.15"/>
    <n v="1"/>
    <n v="43.09"/>
    <n v="51.235999999999997"/>
  </r>
  <r>
    <d v="2020-04-08T00:00:00"/>
    <x v="27"/>
    <x v="0"/>
    <n v="5"/>
    <n v="1695"/>
    <n v="8475"/>
    <s v="20200408N200035717"/>
    <n v="2020068"/>
    <s v="Rolling"/>
    <s v="IN303028-51812720"/>
    <s v="NSE"/>
    <n v="8"/>
    <n v="0.19"/>
    <n v="1"/>
    <n v="55.04"/>
    <n v="64.226500000000001"/>
  </r>
  <r>
    <d v="2020-04-07T00:00:00"/>
    <x v="27"/>
    <x v="0"/>
    <n v="5"/>
    <n v="1551"/>
    <n v="7755"/>
    <s v="20200407B700003125"/>
    <n v="202021005"/>
    <s v="Rolling"/>
    <s v="IN303028-51812720"/>
    <s v="BSE"/>
    <n v="8"/>
    <n v="0.22"/>
    <n v="1"/>
    <n v="50.37"/>
    <n v="59.587200000000003"/>
  </r>
  <r>
    <d v="2020-04-07T00:00:00"/>
    <x v="27"/>
    <x v="0"/>
    <n v="5"/>
    <n v="1629"/>
    <n v="8145"/>
    <s v="20200407N200030276"/>
    <n v="2020067"/>
    <s v="Rolling"/>
    <s v="IN303028-51812720"/>
    <s v="NSE"/>
    <n v="8.25"/>
    <n v="0.18"/>
    <n v="0"/>
    <n v="52.89"/>
    <n v="61.319099999999999"/>
  </r>
  <r>
    <d v="2020-04-07T00:00:00"/>
    <x v="27"/>
    <x v="0"/>
    <n v="5"/>
    <n v="1671"/>
    <n v="8355"/>
    <s v="20200407N200044917"/>
    <n v="2020067"/>
    <s v="Rolling"/>
    <s v="IN303028-51812720"/>
    <s v="NSE"/>
    <n v="8.75"/>
    <n v="0.18"/>
    <n v="2"/>
    <n v="54.26"/>
    <n v="65.193899999999999"/>
  </r>
  <r>
    <d v="2020-04-03T00:00:00"/>
    <x v="27"/>
    <x v="0"/>
    <n v="5"/>
    <n v="1491.7"/>
    <n v="7458.5"/>
    <s v="20200403B700005685"/>
    <n v="202021004"/>
    <s v="Rolling"/>
    <s v="IN303028-51812720"/>
    <s v="BSE"/>
    <n v="7"/>
    <n v="0.21"/>
    <n v="1"/>
    <n v="48.44"/>
    <n v="56.648899999999998"/>
  </r>
  <r>
    <d v="2020-04-03T00:00:00"/>
    <x v="27"/>
    <x v="0"/>
    <n v="5"/>
    <n v="1505"/>
    <n v="7525"/>
    <s v="20200403N400018336"/>
    <n v="2020066"/>
    <s v="Rolling"/>
    <s v="IN303028-51812720"/>
    <s v="NSE"/>
    <n v="8"/>
    <n v="0.17"/>
    <n v="1"/>
    <n v="48.87"/>
    <n v="58.035499999999999"/>
  </r>
  <r>
    <d v="2020-03-23T00:00:00"/>
    <x v="2"/>
    <x v="1"/>
    <n v="20"/>
    <n v="370.2"/>
    <n v="7404"/>
    <s v="20200323N200041892"/>
    <n v="2020058"/>
    <s v="Rolling"/>
    <s v="IN303028-51812720"/>
    <s v="NSE"/>
    <n v="7"/>
    <n v="0.16"/>
    <n v="1"/>
    <n v="48.08"/>
    <n v="56.242899999999999"/>
  </r>
  <r>
    <d v="2020-03-13T00:00:00"/>
    <x v="17"/>
    <x v="1"/>
    <n v="10"/>
    <n v="1025"/>
    <n v="10250"/>
    <s v="20200313B700005254"/>
    <n v="201920237"/>
    <s v="Rolling"/>
    <s v="IN303028-51812720"/>
    <s v="BSE"/>
    <n v="10"/>
    <n v="0.28999999999999998"/>
    <n v="2"/>
    <n v="66.58"/>
    <n v="78.867000000000004"/>
  </r>
  <r>
    <d v="2020-03-12T00:00:00"/>
    <x v="20"/>
    <x v="1"/>
    <n v="50"/>
    <n v="129.19999999999999"/>
    <n v="6460"/>
    <s v="20200312N200014653"/>
    <n v="2020051"/>
    <s v="Rolling"/>
    <s v="IN303028-51812720"/>
    <s v="NSE"/>
    <n v="6.46"/>
    <n v="0.14000000000000001"/>
    <n v="0"/>
    <n v="41.95"/>
    <n v="48.552199999999999"/>
  </r>
  <r>
    <d v="2020-03-12T00:00:00"/>
    <x v="21"/>
    <x v="1"/>
    <n v="50"/>
    <n v="159.1"/>
    <n v="7955"/>
    <s v="20200312N200031727"/>
    <n v="2020051"/>
    <s v="Rolling"/>
    <s v="IN303028-51812720"/>
    <s v="NSE"/>
    <n v="7.96"/>
    <n v="0.18"/>
    <n v="0"/>
    <n v="51.66"/>
    <n v="59.795099999999998"/>
  </r>
  <r>
    <d v="2020-03-12T00:00:00"/>
    <x v="3"/>
    <x v="1"/>
    <n v="5"/>
    <n v="1376"/>
    <n v="6880"/>
    <s v="20200312N200032184"/>
    <n v="2020051"/>
    <s v="Rolling"/>
    <s v="IN303028-51812720"/>
    <s v="NSE"/>
    <n v="6.48"/>
    <n v="0.15"/>
    <n v="3"/>
    <n v="44.68"/>
    <n v="54.311399999999999"/>
  </r>
  <r>
    <d v="2020-03-12T00:00:00"/>
    <x v="28"/>
    <x v="1"/>
    <n v="5"/>
    <n v="1622"/>
    <n v="8110"/>
    <s v="20200312N200046613"/>
    <n v="2020051"/>
    <s v="Rolling"/>
    <s v="IN303028-51812720"/>
    <s v="NSE"/>
    <n v="8.11"/>
    <n v="0.18"/>
    <n v="0"/>
    <n v="52.67"/>
    <n v="60.958399999999997"/>
  </r>
  <r>
    <d v="2020-03-09T00:00:00"/>
    <x v="2"/>
    <x v="1"/>
    <n v="10"/>
    <n v="524.5"/>
    <n v="5245"/>
    <s v="20200309N200013916"/>
    <n v="2020049"/>
    <s v="Rolling"/>
    <s v="IN303028-51812720"/>
    <s v="NSE"/>
    <n v="5.09"/>
    <n v="0.12"/>
    <n v="6"/>
    <n v="41.32"/>
    <n v="52.525300000000001"/>
  </r>
  <r>
    <d v="2020-03-09T00:00:00"/>
    <x v="16"/>
    <x v="1"/>
    <n v="100"/>
    <n v="95.5"/>
    <n v="9550"/>
    <s v="20200309N200014427"/>
    <n v="2020049"/>
    <s v="Rolling"/>
    <s v="IN303028-51812720"/>
    <s v="NSE"/>
    <n v="9.5500000000000007"/>
    <n v="0.21"/>
    <n v="0"/>
    <n v="62.02"/>
    <n v="71.780199999999994"/>
  </r>
  <r>
    <d v="2020-03-09T00:00:00"/>
    <x v="18"/>
    <x v="1"/>
    <n v="10"/>
    <n v="944.1"/>
    <n v="9441"/>
    <s v="20200309N200025782"/>
    <n v="2020049"/>
    <s v="Rolling"/>
    <s v="IN303028-51812720"/>
    <s v="NSE"/>
    <n v="9.44"/>
    <n v="0.21"/>
    <n v="0"/>
    <n v="61.31"/>
    <n v="70.957700000000003"/>
  </r>
  <r>
    <d v="2020-03-09T00:00:00"/>
    <x v="25"/>
    <x v="1"/>
    <n v="5"/>
    <n v="1957.5"/>
    <n v="9787.5"/>
    <s v="20200309N200039965"/>
    <n v="2020049"/>
    <s v="Rolling"/>
    <s v="IN303028-51812720"/>
    <s v="NSE"/>
    <n v="9.7899999999999991"/>
    <n v="0.22"/>
    <n v="0"/>
    <n v="63.56"/>
    <n v="73.565299999999993"/>
  </r>
  <r>
    <d v="2020-03-09T00:00:00"/>
    <x v="22"/>
    <x v="1"/>
    <n v="5"/>
    <n v="2485"/>
    <n v="12425"/>
    <s v="20200309N200040277"/>
    <n v="2020049"/>
    <s v="Rolling"/>
    <s v="IN303028-51812720"/>
    <s v="NSE"/>
    <n v="12.43"/>
    <n v="0.27"/>
    <n v="0"/>
    <n v="80.69"/>
    <n v="93.393299999999996"/>
  </r>
  <r>
    <d v="2020-03-09T00:00:00"/>
    <x v="13"/>
    <x v="1"/>
    <n v="10"/>
    <n v="1071"/>
    <n v="10710"/>
    <s v="20200309N200040880"/>
    <n v="2020049"/>
    <s v="Rolling"/>
    <s v="IN303028-51812720"/>
    <s v="NSE"/>
    <n v="10.71"/>
    <n v="0.24"/>
    <n v="0"/>
    <n v="69.55"/>
    <n v="80.495599999999996"/>
  </r>
  <r>
    <d v="2020-03-06T00:00:00"/>
    <x v="11"/>
    <x v="1"/>
    <n v="35"/>
    <n v="300.5"/>
    <n v="10517.5"/>
    <s v="20200306N200007510"/>
    <n v="2020048"/>
    <s v="Rolling"/>
    <s v="IN303028-51812720"/>
    <s v="NSE"/>
    <n v="10.52"/>
    <n v="0.23"/>
    <n v="0"/>
    <n v="68.3"/>
    <n v="79.051400000000001"/>
  </r>
  <r>
    <d v="2020-03-06T00:00:00"/>
    <x v="20"/>
    <x v="1"/>
    <n v="50"/>
    <n v="134.75"/>
    <n v="6737.5"/>
    <s v="20200306N200008088"/>
    <n v="2020048"/>
    <s v="Rolling"/>
    <s v="IN303028-51812720"/>
    <s v="NSE"/>
    <n v="6.74"/>
    <n v="0.15"/>
    <n v="0"/>
    <n v="43.75"/>
    <n v="50.638300000000001"/>
  </r>
  <r>
    <d v="2020-03-06T00:00:00"/>
    <x v="18"/>
    <x v="1"/>
    <n v="10"/>
    <n v="954"/>
    <n v="9540"/>
    <s v="20200306N200008283"/>
    <n v="2020048"/>
    <s v="Rolling"/>
    <s v="IN303028-51812720"/>
    <s v="NSE"/>
    <n v="9.51"/>
    <n v="0.21"/>
    <n v="4"/>
    <n v="61.95"/>
    <n v="75.669799999999995"/>
  </r>
  <r>
    <d v="2020-03-06T00:00:00"/>
    <x v="13"/>
    <x v="1"/>
    <n v="10"/>
    <n v="1124"/>
    <n v="11240"/>
    <s v="20200306N200009039"/>
    <n v="2020048"/>
    <s v="Rolling"/>
    <s v="IN303028-51812720"/>
    <s v="NSE"/>
    <n v="11.24"/>
    <n v="0.25"/>
    <n v="0"/>
    <n v="72.989999999999995"/>
    <n v="84.477199999999996"/>
  </r>
  <r>
    <d v="2020-02-28T00:00:00"/>
    <x v="18"/>
    <x v="1"/>
    <n v="10"/>
    <n v="1096"/>
    <n v="10960"/>
    <s v="20200228N200010119"/>
    <n v="2020043"/>
    <s v="Rolling"/>
    <s v="IN303028-51812720"/>
    <s v="NSE"/>
    <n v="11"/>
    <n v="0.24"/>
    <n v="2"/>
    <n v="71.17"/>
    <n v="84.41119999999999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D34" firstHeaderRow="1" firstDataRow="2" firstDataCol="1"/>
  <pivotFields count="16">
    <pivotField numFmtId="15" showAll="0"/>
    <pivotField axis="axisRow" showAll="0">
      <items count="30">
        <item x="14"/>
        <item x="22"/>
        <item x="6"/>
        <item x="10"/>
        <item x="20"/>
        <item x="7"/>
        <item x="3"/>
        <item x="4"/>
        <item x="12"/>
        <item x="8"/>
        <item x="13"/>
        <item x="2"/>
        <item x="18"/>
        <item x="9"/>
        <item x="24"/>
        <item x="21"/>
        <item x="15"/>
        <item x="11"/>
        <item x="28"/>
        <item x="23"/>
        <item x="5"/>
        <item x="16"/>
        <item x="26"/>
        <item x="19"/>
        <item x="0"/>
        <item x="25"/>
        <item x="17"/>
        <item x="1"/>
        <item x="27"/>
        <item t="default"/>
      </items>
    </pivotField>
    <pivotField axis="axisCol" showAll="0">
      <items count="3">
        <item x="1"/>
        <item x="0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Trade Value" fld="5" baseField="0" baseItem="0" numFmtId="166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2"/>
  <sheetViews>
    <sheetView topLeftCell="A26" workbookViewId="0">
      <selection activeCell="E52" sqref="E52"/>
    </sheetView>
  </sheetViews>
  <sheetFormatPr defaultRowHeight="15" x14ac:dyDescent="0.25"/>
  <cols>
    <col min="1" max="1" width="6.85546875" bestFit="1" customWidth="1"/>
    <col min="2" max="2" width="40.85546875" customWidth="1"/>
    <col min="3" max="3" width="25" customWidth="1"/>
    <col min="4" max="4" width="9.28515625" bestFit="1" customWidth="1"/>
    <col min="5" max="5" width="18.5703125" bestFit="1" customWidth="1"/>
  </cols>
  <sheetData>
    <row r="1" spans="1:5" x14ac:dyDescent="0.25">
      <c r="A1" s="13" t="s">
        <v>1408</v>
      </c>
      <c r="B1" s="2" t="s">
        <v>1407</v>
      </c>
      <c r="C1" s="2" t="s">
        <v>1406</v>
      </c>
      <c r="D1" s="8" t="s">
        <v>1405</v>
      </c>
      <c r="E1" s="8" t="s">
        <v>1404</v>
      </c>
    </row>
    <row r="2" spans="1:5" x14ac:dyDescent="0.25">
      <c r="A2" s="9">
        <v>1</v>
      </c>
      <c r="B2" s="1" t="s">
        <v>388</v>
      </c>
      <c r="C2" s="1">
        <v>71</v>
      </c>
      <c r="D2" s="9" t="str">
        <f>IF(B2="", "", VLOOKUP(B2,'Raw Data'!$B$1:$C$701, 2, 0))</f>
        <v>AJANTPHARM.NS</v>
      </c>
      <c r="E2" s="10">
        <f>IF(B2="","",C2/$C$52)</f>
        <v>1.4185814185814187E-2</v>
      </c>
    </row>
    <row r="3" spans="1:5" x14ac:dyDescent="0.25">
      <c r="A3" s="9">
        <f t="shared" ref="A3:A34" si="0">IF(B3="","",A2+1)</f>
        <v>2</v>
      </c>
      <c r="B3" s="1" t="s">
        <v>155</v>
      </c>
      <c r="C3" s="1">
        <v>178</v>
      </c>
      <c r="D3" s="9" t="str">
        <f>IF(B3="", "", VLOOKUP(B3,'Raw Data'!$B$1:$C$701, 2, 0))</f>
        <v>ASIANPAINT.NS</v>
      </c>
      <c r="E3" s="10">
        <f t="shared" ref="E3:E51" si="1">IF(B3="","",C3/$C$52)</f>
        <v>3.5564435564435566E-2</v>
      </c>
    </row>
    <row r="4" spans="1:5" x14ac:dyDescent="0.25">
      <c r="A4" s="9">
        <f t="shared" si="0"/>
        <v>3</v>
      </c>
      <c r="B4" s="1" t="s">
        <v>655</v>
      </c>
      <c r="C4" s="1">
        <v>203</v>
      </c>
      <c r="D4" s="9" t="str">
        <f>IF(B4="", "", VLOOKUP(B4,'Raw Data'!$B$1:$C$701, 2, 0))</f>
        <v>BANDHANBNK.NS</v>
      </c>
      <c r="E4" s="10">
        <f t="shared" si="1"/>
        <v>4.0559440559440559E-2</v>
      </c>
    </row>
    <row r="5" spans="1:5" x14ac:dyDescent="0.25">
      <c r="A5" s="9">
        <f t="shared" si="0"/>
        <v>4</v>
      </c>
      <c r="B5" s="1" t="s">
        <v>324</v>
      </c>
      <c r="C5" s="1">
        <v>33</v>
      </c>
      <c r="D5" s="9" t="str">
        <f>IF(B5="", "", VLOOKUP(B5,'Raw Data'!$B$1:$C$701, 2, 0))</f>
        <v>BLUEDART.NS</v>
      </c>
      <c r="E5" s="10">
        <f t="shared" si="1"/>
        <v>6.5934065934065934E-3</v>
      </c>
    </row>
    <row r="6" spans="1:5" x14ac:dyDescent="0.25">
      <c r="A6" s="9">
        <f t="shared" si="0"/>
        <v>5</v>
      </c>
      <c r="B6" s="1" t="s">
        <v>387</v>
      </c>
      <c r="C6" s="1">
        <v>109</v>
      </c>
      <c r="D6" s="9" t="str">
        <f>IF(B6="", "", VLOOKUP(B6,'Raw Data'!$B$1:$C$701, 2, 0))</f>
        <v>CADILAHC.NS</v>
      </c>
      <c r="E6" s="10">
        <f t="shared" si="1"/>
        <v>2.1778221778221779E-2</v>
      </c>
    </row>
    <row r="7" spans="1:5" x14ac:dyDescent="0.25">
      <c r="A7" s="9">
        <f t="shared" si="0"/>
        <v>6</v>
      </c>
      <c r="B7" s="1" t="s">
        <v>160</v>
      </c>
      <c r="C7" s="1">
        <v>116</v>
      </c>
      <c r="D7" s="9" t="str">
        <f>IF(B7="", "", VLOOKUP(B7,'Raw Data'!$B$1:$C$701, 2, 0))</f>
        <v>CASTROLIND.NS</v>
      </c>
      <c r="E7" s="10">
        <f t="shared" si="1"/>
        <v>2.3176823176823177E-2</v>
      </c>
    </row>
    <row r="8" spans="1:5" x14ac:dyDescent="0.25">
      <c r="A8" s="9">
        <f t="shared" si="0"/>
        <v>7</v>
      </c>
      <c r="B8" s="1" t="s">
        <v>27</v>
      </c>
      <c r="C8" s="1">
        <v>145</v>
      </c>
      <c r="D8" s="9" t="str">
        <f>IF(B8="", "", VLOOKUP(B8,'Raw Data'!$B$1:$C$701, 2, 0))</f>
        <v>CRISIL.NS</v>
      </c>
      <c r="E8" s="10">
        <f t="shared" si="1"/>
        <v>2.8971028971028972E-2</v>
      </c>
    </row>
    <row r="9" spans="1:5" x14ac:dyDescent="0.25">
      <c r="A9" s="9">
        <f t="shared" si="0"/>
        <v>8</v>
      </c>
      <c r="B9" s="1" t="s">
        <v>412</v>
      </c>
      <c r="C9" s="1">
        <v>284</v>
      </c>
      <c r="D9" s="9" t="str">
        <f>IF(B9="", "", VLOOKUP(B9,'Raw Data'!$B$1:$C$701, 2, 0))</f>
        <v>DIVISLAB.NS</v>
      </c>
      <c r="E9" s="10">
        <f t="shared" si="1"/>
        <v>5.6743256743256747E-2</v>
      </c>
    </row>
    <row r="10" spans="1:5" x14ac:dyDescent="0.25">
      <c r="A10" s="9">
        <f t="shared" si="0"/>
        <v>9</v>
      </c>
      <c r="B10" s="1" t="s">
        <v>592</v>
      </c>
      <c r="C10" s="1">
        <v>224</v>
      </c>
      <c r="D10" s="9" t="str">
        <f>IF(B10="", "", VLOOKUP(B10,'Raw Data'!$B$1:$C$701, 2, 0))</f>
        <v>LALPATHLAB.NS</v>
      </c>
      <c r="E10" s="10">
        <f t="shared" si="1"/>
        <v>4.4755244755244755E-2</v>
      </c>
    </row>
    <row r="11" spans="1:5" x14ac:dyDescent="0.25">
      <c r="A11" s="9">
        <f t="shared" si="0"/>
        <v>10</v>
      </c>
      <c r="B11" s="1" t="s">
        <v>186</v>
      </c>
      <c r="C11" s="1">
        <v>68</v>
      </c>
      <c r="D11" s="9" t="str">
        <f>IF(B11="", "", VLOOKUP(B11,'Raw Data'!$B$1:$C$701, 2, 0))</f>
        <v>EICHERMOT.NS</v>
      </c>
      <c r="E11" s="10">
        <f t="shared" si="1"/>
        <v>1.3586413586413586E-2</v>
      </c>
    </row>
    <row r="12" spans="1:5" x14ac:dyDescent="0.25">
      <c r="A12" s="9">
        <f t="shared" si="0"/>
        <v>11</v>
      </c>
      <c r="B12" s="1" t="s">
        <v>380</v>
      </c>
      <c r="C12" s="1">
        <v>153</v>
      </c>
      <c r="D12" s="9" t="str">
        <f>IF(B12="", "", VLOOKUP(B12,'Raw Data'!$B$1:$C$701, 2, 0))</f>
        <v>HCLTECH.NS</v>
      </c>
      <c r="E12" s="10">
        <f t="shared" si="1"/>
        <v>3.056943056943057E-2</v>
      </c>
    </row>
    <row r="13" spans="1:5" x14ac:dyDescent="0.25">
      <c r="A13" s="9">
        <f t="shared" si="0"/>
        <v>12</v>
      </c>
      <c r="B13" s="1" t="s">
        <v>55</v>
      </c>
      <c r="C13" s="1">
        <v>285</v>
      </c>
      <c r="D13" s="9" t="str">
        <f>IF(B13="", "", VLOOKUP(B13,'Raw Data'!$B$1:$C$701, 2, 0))</f>
        <v>HDFCBANK.NS</v>
      </c>
      <c r="E13" s="10">
        <f t="shared" si="1"/>
        <v>5.6943056943056944E-2</v>
      </c>
    </row>
    <row r="14" spans="1:5" x14ac:dyDescent="0.25">
      <c r="A14" s="9">
        <f t="shared" si="0"/>
        <v>13</v>
      </c>
      <c r="B14" s="1" t="s">
        <v>647</v>
      </c>
      <c r="C14" s="1">
        <v>81</v>
      </c>
      <c r="D14" s="9" t="str">
        <f>IF(B14="", "", VLOOKUP(B14,'Raw Data'!$B$1:$C$701, 2, 0))</f>
        <v>HDFCLIFE.NS</v>
      </c>
      <c r="E14" s="10">
        <f t="shared" si="1"/>
        <v>1.6183816183816185E-2</v>
      </c>
    </row>
    <row r="15" spans="1:5" x14ac:dyDescent="0.25">
      <c r="A15" s="9">
        <f t="shared" si="0"/>
        <v>14</v>
      </c>
      <c r="B15" s="1" t="s">
        <v>636</v>
      </c>
      <c r="C15" s="1">
        <v>44</v>
      </c>
      <c r="D15" s="9" t="str">
        <f>IF(B15="", "", VLOOKUP(B15,'Raw Data'!$B$1:$C$701, 2, 0))</f>
        <v>ICICIGI.NS</v>
      </c>
      <c r="E15" s="10">
        <f t="shared" si="1"/>
        <v>8.7912087912087912E-3</v>
      </c>
    </row>
    <row r="16" spans="1:5" x14ac:dyDescent="0.25">
      <c r="A16" s="9">
        <f t="shared" si="0"/>
        <v>15</v>
      </c>
      <c r="B16" s="1" t="s">
        <v>370</v>
      </c>
      <c r="C16" s="1">
        <v>211</v>
      </c>
      <c r="D16" s="9" t="str">
        <f>IF(B16="", "", VLOOKUP(B16,'Raw Data'!$B$1:$C$701, 2, 0))</f>
        <v>INDUSINDBK.NS</v>
      </c>
      <c r="E16" s="10">
        <f t="shared" si="1"/>
        <v>4.2157842157842157E-2</v>
      </c>
    </row>
    <row r="17" spans="1:5" x14ac:dyDescent="0.25">
      <c r="A17" s="9">
        <f t="shared" si="0"/>
        <v>16</v>
      </c>
      <c r="B17" s="1" t="s">
        <v>468</v>
      </c>
      <c r="C17" s="1">
        <v>311</v>
      </c>
      <c r="D17" s="9" t="str">
        <f>IF(B17="", "", VLOOKUP(B17,'Raw Data'!$B$1:$C$701, 2, 0))</f>
        <v>NAUKRI.NS</v>
      </c>
      <c r="E17" s="10">
        <f t="shared" si="1"/>
        <v>6.213786213786214E-2</v>
      </c>
    </row>
    <row r="18" spans="1:5" x14ac:dyDescent="0.25">
      <c r="A18" s="9">
        <f t="shared" si="0"/>
        <v>17</v>
      </c>
      <c r="B18" s="1" t="s">
        <v>63</v>
      </c>
      <c r="C18" s="1">
        <v>185</v>
      </c>
      <c r="D18" s="9" t="str">
        <f>IF(B18="", "", VLOOKUP(B18,'Raw Data'!$B$1:$C$701, 2, 0))</f>
        <v>INFY.NS</v>
      </c>
      <c r="E18" s="10">
        <f t="shared" si="1"/>
        <v>3.696303696303696E-2</v>
      </c>
    </row>
    <row r="19" spans="1:5" x14ac:dyDescent="0.25">
      <c r="A19" s="9">
        <f t="shared" si="0"/>
        <v>18</v>
      </c>
      <c r="B19" s="1" t="s">
        <v>161</v>
      </c>
      <c r="C19" s="1">
        <v>158</v>
      </c>
      <c r="D19" s="9" t="str">
        <f>IF(B19="", "", VLOOKUP(B19,'Raw Data'!$B$1:$C$701, 2, 0))</f>
        <v>ITC.NS</v>
      </c>
      <c r="E19" s="10">
        <f t="shared" si="1"/>
        <v>3.1568431568431567E-2</v>
      </c>
    </row>
    <row r="20" spans="1:5" x14ac:dyDescent="0.25">
      <c r="A20" s="9">
        <f t="shared" si="0"/>
        <v>19</v>
      </c>
      <c r="B20" s="1" t="s">
        <v>533</v>
      </c>
      <c r="C20" s="1">
        <v>338</v>
      </c>
      <c r="D20" s="9" t="str">
        <f>IF(B20="", "", VLOOKUP(B20,'Raw Data'!$B$1:$C$701, 2, 0))</f>
        <v>JUBLFOOD.NS</v>
      </c>
      <c r="E20" s="10">
        <f t="shared" si="1"/>
        <v>6.7532467532467527E-2</v>
      </c>
    </row>
    <row r="21" spans="1:5" x14ac:dyDescent="0.25">
      <c r="A21" s="9">
        <f t="shared" si="0"/>
        <v>20</v>
      </c>
      <c r="B21" s="1" t="s">
        <v>608</v>
      </c>
      <c r="C21" s="1">
        <v>105</v>
      </c>
      <c r="D21" s="9" t="str">
        <f>IF(B21="", "", VLOOKUP(B21,'Raw Data'!$B$1:$C$701, 2, 0))</f>
        <v>LTI.NS</v>
      </c>
      <c r="E21" s="10">
        <f t="shared" si="1"/>
        <v>2.097902097902098E-2</v>
      </c>
    </row>
    <row r="22" spans="1:5" x14ac:dyDescent="0.25">
      <c r="A22" s="9">
        <f t="shared" si="0"/>
        <v>21</v>
      </c>
      <c r="B22" s="1" t="s">
        <v>78</v>
      </c>
      <c r="C22" s="1">
        <v>160</v>
      </c>
      <c r="D22" s="9" t="str">
        <f>IF(B22="", "", VLOOKUP(B22,'Raw Data'!$B$1:$C$701, 2, 0))</f>
        <v>LICHSGFIN.NS</v>
      </c>
      <c r="E22" s="10">
        <f t="shared" si="1"/>
        <v>3.1968031968031968E-2</v>
      </c>
    </row>
    <row r="23" spans="1:5" x14ac:dyDescent="0.25">
      <c r="A23" s="9">
        <f t="shared" si="0"/>
        <v>22</v>
      </c>
      <c r="B23" s="1" t="s">
        <v>79</v>
      </c>
      <c r="C23" s="1">
        <v>141</v>
      </c>
      <c r="D23" s="9" t="str">
        <f>IF(B23="", "", VLOOKUP(B23,'Raw Data'!$B$1:$C$701, 2, 0))</f>
        <v>LUPIN.NS</v>
      </c>
      <c r="E23" s="10">
        <f t="shared" si="1"/>
        <v>2.8171828171828173E-2</v>
      </c>
    </row>
    <row r="24" spans="1:5" x14ac:dyDescent="0.25">
      <c r="A24" s="9">
        <f t="shared" si="0"/>
        <v>23</v>
      </c>
      <c r="B24" s="1" t="s">
        <v>416</v>
      </c>
      <c r="C24" s="1">
        <v>169</v>
      </c>
      <c r="D24" s="9" t="str">
        <f>IF(B24="", "", VLOOKUP(B24,'Raw Data'!$B$1:$C$701, 2, 0))</f>
        <v>MARUTI.NS</v>
      </c>
      <c r="E24" s="10">
        <f t="shared" si="1"/>
        <v>3.3766233766233764E-2</v>
      </c>
    </row>
    <row r="25" spans="1:5" x14ac:dyDescent="0.25">
      <c r="A25" s="9">
        <f t="shared" si="0"/>
        <v>24</v>
      </c>
      <c r="B25" s="1" t="s">
        <v>258</v>
      </c>
      <c r="C25" s="1">
        <v>187</v>
      </c>
      <c r="D25" s="9" t="str">
        <f>IF(B25="", "", VLOOKUP(B25,'Raw Data'!$B$1:$C$701, 2, 0))</f>
        <v>MOTHERSUMI.NS</v>
      </c>
      <c r="E25" s="10">
        <f t="shared" si="1"/>
        <v>3.7362637362637362E-2</v>
      </c>
    </row>
    <row r="26" spans="1:5" x14ac:dyDescent="0.25">
      <c r="A26" s="9">
        <f t="shared" si="0"/>
        <v>25</v>
      </c>
      <c r="B26" s="1" t="s">
        <v>481</v>
      </c>
      <c r="C26" s="1">
        <v>304</v>
      </c>
      <c r="D26" s="9" t="str">
        <f>IF(B26="", "", VLOOKUP(B26,'Raw Data'!$B$1:$C$701, 2, 0))</f>
        <v>PAGEIND.NS</v>
      </c>
      <c r="E26" s="10">
        <f t="shared" si="1"/>
        <v>6.0739260739260739E-2</v>
      </c>
    </row>
    <row r="27" spans="1:5" x14ac:dyDescent="0.25">
      <c r="A27" s="9">
        <f t="shared" si="0"/>
        <v>26</v>
      </c>
      <c r="B27" s="1" t="s">
        <v>106</v>
      </c>
      <c r="C27" s="1">
        <v>41</v>
      </c>
      <c r="D27" s="9" t="str">
        <f>IF(B27="", "", VLOOKUP(B27,'Raw Data'!$B$1:$C$701, 2, 0))</f>
        <v>SHREECEM.NS</v>
      </c>
      <c r="E27" s="10">
        <f t="shared" si="1"/>
        <v>8.1918081918081927E-3</v>
      </c>
    </row>
    <row r="28" spans="1:5" x14ac:dyDescent="0.25">
      <c r="A28" s="9">
        <f t="shared" si="0"/>
        <v>27</v>
      </c>
      <c r="B28" s="1" t="s">
        <v>317</v>
      </c>
      <c r="C28" s="1">
        <v>117</v>
      </c>
      <c r="D28" s="9" t="str">
        <f>IF(B28="", "", VLOOKUP(B28,'Raw Data'!$B$1:$C$701, 2, 0))</f>
        <v>SUNPHARMA.NS</v>
      </c>
      <c r="E28" s="10">
        <f t="shared" si="1"/>
        <v>2.3376623376623377E-2</v>
      </c>
    </row>
    <row r="29" spans="1:5" x14ac:dyDescent="0.25">
      <c r="A29" s="9">
        <f t="shared" si="0"/>
        <v>28</v>
      </c>
      <c r="B29" s="1" t="s">
        <v>432</v>
      </c>
      <c r="C29" s="1">
        <v>86</v>
      </c>
      <c r="D29" s="9" t="str">
        <f>IF(B29="", "", VLOOKUP(B29,'Raw Data'!$B$1:$C$701, 2, 0))</f>
        <v>TCS.NS</v>
      </c>
      <c r="E29" s="10">
        <f t="shared" si="1"/>
        <v>1.7182817182817185E-2</v>
      </c>
    </row>
    <row r="30" spans="1:5" x14ac:dyDescent="0.25">
      <c r="A30" s="9">
        <f t="shared" si="0"/>
        <v>29</v>
      </c>
      <c r="B30" s="1" t="s">
        <v>138</v>
      </c>
      <c r="C30" s="1">
        <v>74</v>
      </c>
      <c r="D30" s="9" t="str">
        <f>IF(B30="", "", VLOOKUP(B30,'Raw Data'!$B$1:$C$701, 2, 0))</f>
        <v>TATAMOTORS.NS</v>
      </c>
      <c r="E30" s="10">
        <f t="shared" si="1"/>
        <v>1.4785214785214785E-2</v>
      </c>
    </row>
    <row r="31" spans="1:5" x14ac:dyDescent="0.25">
      <c r="A31" s="9">
        <f t="shared" si="0"/>
        <v>30</v>
      </c>
      <c r="B31" s="1" t="s">
        <v>38</v>
      </c>
      <c r="C31" s="1">
        <v>297</v>
      </c>
      <c r="D31" s="9" t="str">
        <f>IF(B31="", "", VLOOKUP(B31,'Raw Data'!$B$1:$C$701, 2, 0))</f>
        <v>TITAN.NS</v>
      </c>
      <c r="E31" s="10">
        <f t="shared" si="1"/>
        <v>5.9340659340659338E-2</v>
      </c>
    </row>
    <row r="32" spans="1:5" x14ac:dyDescent="0.25">
      <c r="A32" s="9">
        <f t="shared" si="0"/>
        <v>31</v>
      </c>
      <c r="B32" s="1" t="s">
        <v>430</v>
      </c>
      <c r="C32" s="1">
        <v>53</v>
      </c>
      <c r="D32" s="9" t="str">
        <f>IF(B32="", "", VLOOKUP(B32,'Raw Data'!$B$1:$C$701, 2, 0))</f>
        <v>ULTRACEMCO.NS</v>
      </c>
      <c r="E32" s="10">
        <f t="shared" si="1"/>
        <v>1.058941058941059E-2</v>
      </c>
    </row>
    <row r="33" spans="1:5" x14ac:dyDescent="0.25">
      <c r="A33" s="9">
        <f t="shared" si="0"/>
        <v>32</v>
      </c>
      <c r="B33" s="1" t="s">
        <v>565</v>
      </c>
      <c r="C33" s="1">
        <v>74</v>
      </c>
      <c r="D33" s="9" t="str">
        <f>IF(B33="", "", VLOOKUP(B33,'Raw Data'!$B$1:$C$701, 2, 0))</f>
        <v>VMART.NS</v>
      </c>
      <c r="E33" s="10">
        <f t="shared" si="1"/>
        <v>1.4785214785214785E-2</v>
      </c>
    </row>
    <row r="34" spans="1:5" x14ac:dyDescent="0.25">
      <c r="A34" s="9" t="str">
        <f t="shared" si="0"/>
        <v/>
      </c>
      <c r="B34" s="1"/>
      <c r="C34" s="1"/>
      <c r="D34" s="9" t="str">
        <f>IF(B34="", "", VLOOKUP(B34,'Raw Data'!$B$1:$C$701, 2, 0))</f>
        <v/>
      </c>
      <c r="E34" s="10" t="str">
        <f t="shared" si="1"/>
        <v/>
      </c>
    </row>
    <row r="35" spans="1:5" x14ac:dyDescent="0.25">
      <c r="A35" s="9" t="str">
        <f t="shared" ref="A35:A51" si="2">IF(B35="","",A34+1)</f>
        <v/>
      </c>
      <c r="B35" s="1"/>
      <c r="C35" s="1"/>
      <c r="D35" s="9" t="str">
        <f>IF(B35="", "", VLOOKUP(B35,'Raw Data'!$B$1:$C$701, 2, 0))</f>
        <v/>
      </c>
      <c r="E35" s="10" t="str">
        <f t="shared" si="1"/>
        <v/>
      </c>
    </row>
    <row r="36" spans="1:5" x14ac:dyDescent="0.25">
      <c r="A36" s="9" t="str">
        <f t="shared" si="2"/>
        <v/>
      </c>
      <c r="B36" s="1"/>
      <c r="C36" s="1"/>
      <c r="D36" s="9" t="str">
        <f>IF(B36="", "", VLOOKUP(B36,'Raw Data'!$B$1:$C$701, 2, 0))</f>
        <v/>
      </c>
      <c r="E36" s="10" t="str">
        <f t="shared" si="1"/>
        <v/>
      </c>
    </row>
    <row r="37" spans="1:5" x14ac:dyDescent="0.25">
      <c r="A37" s="9" t="str">
        <f t="shared" si="2"/>
        <v/>
      </c>
      <c r="B37" s="1"/>
      <c r="C37" s="1"/>
      <c r="D37" s="9" t="str">
        <f>IF(B37="", "", VLOOKUP(B37,'Raw Data'!$B$1:$C$701, 2, 0))</f>
        <v/>
      </c>
      <c r="E37" s="10" t="str">
        <f t="shared" si="1"/>
        <v/>
      </c>
    </row>
    <row r="38" spans="1:5" x14ac:dyDescent="0.25">
      <c r="A38" s="9" t="str">
        <f t="shared" si="2"/>
        <v/>
      </c>
      <c r="B38" s="1"/>
      <c r="C38" s="1"/>
      <c r="D38" s="9" t="str">
        <f>IF(B38="", "", VLOOKUP(B38,'Raw Data'!$B$1:$C$701, 2, 0))</f>
        <v/>
      </c>
      <c r="E38" s="10" t="str">
        <f t="shared" si="1"/>
        <v/>
      </c>
    </row>
    <row r="39" spans="1:5" x14ac:dyDescent="0.25">
      <c r="A39" s="9" t="str">
        <f t="shared" si="2"/>
        <v/>
      </c>
      <c r="B39" s="1"/>
      <c r="C39" s="1"/>
      <c r="D39" s="9" t="str">
        <f>IF(B39="", "", VLOOKUP(B39,'Raw Data'!$B$1:$C$701, 2, 0))</f>
        <v/>
      </c>
      <c r="E39" s="10" t="str">
        <f t="shared" si="1"/>
        <v/>
      </c>
    </row>
    <row r="40" spans="1:5" x14ac:dyDescent="0.25">
      <c r="A40" s="9" t="str">
        <f t="shared" si="2"/>
        <v/>
      </c>
      <c r="B40" s="1"/>
      <c r="C40" s="1"/>
      <c r="D40" s="9" t="str">
        <f>IF(B40="", "", VLOOKUP(B40,'Raw Data'!$B$1:$C$701, 2, 0))</f>
        <v/>
      </c>
      <c r="E40" s="10" t="str">
        <f t="shared" si="1"/>
        <v/>
      </c>
    </row>
    <row r="41" spans="1:5" x14ac:dyDescent="0.25">
      <c r="A41" s="9" t="str">
        <f t="shared" si="2"/>
        <v/>
      </c>
      <c r="B41" s="1"/>
      <c r="C41" s="1"/>
      <c r="D41" s="9" t="str">
        <f>IF(B41="", "", VLOOKUP(B41,'Raw Data'!$B$1:$C$701, 2, 0))</f>
        <v/>
      </c>
      <c r="E41" s="10" t="str">
        <f t="shared" si="1"/>
        <v/>
      </c>
    </row>
    <row r="42" spans="1:5" x14ac:dyDescent="0.25">
      <c r="A42" s="9" t="str">
        <f t="shared" si="2"/>
        <v/>
      </c>
      <c r="B42" s="1"/>
      <c r="C42" s="1"/>
      <c r="D42" s="9" t="str">
        <f>IF(B42="", "", VLOOKUP(B42,'Raw Data'!$B$1:$C$701, 2, 0))</f>
        <v/>
      </c>
      <c r="E42" s="10" t="str">
        <f t="shared" si="1"/>
        <v/>
      </c>
    </row>
    <row r="43" spans="1:5" x14ac:dyDescent="0.25">
      <c r="A43" s="9" t="str">
        <f t="shared" si="2"/>
        <v/>
      </c>
      <c r="B43" s="1"/>
      <c r="C43" s="1"/>
      <c r="D43" s="9" t="str">
        <f>IF(B43="", "", VLOOKUP(B43,'Raw Data'!$B$1:$C$701, 2, 0))</f>
        <v/>
      </c>
      <c r="E43" s="10" t="str">
        <f t="shared" si="1"/>
        <v/>
      </c>
    </row>
    <row r="44" spans="1:5" x14ac:dyDescent="0.25">
      <c r="A44" s="9" t="str">
        <f t="shared" si="2"/>
        <v/>
      </c>
      <c r="B44" s="1"/>
      <c r="C44" s="1"/>
      <c r="D44" s="9" t="str">
        <f>IF(B44="", "", VLOOKUP(B44,'Raw Data'!$B$1:$C$701, 2, 0))</f>
        <v/>
      </c>
      <c r="E44" s="10" t="str">
        <f t="shared" si="1"/>
        <v/>
      </c>
    </row>
    <row r="45" spans="1:5" x14ac:dyDescent="0.25">
      <c r="A45" s="9" t="str">
        <f t="shared" si="2"/>
        <v/>
      </c>
      <c r="B45" s="1"/>
      <c r="C45" s="1"/>
      <c r="D45" s="9" t="str">
        <f>IF(B45="", "", VLOOKUP(B45,'Raw Data'!$B$1:$C$701, 2, 0))</f>
        <v/>
      </c>
      <c r="E45" s="10" t="str">
        <f t="shared" si="1"/>
        <v/>
      </c>
    </row>
    <row r="46" spans="1:5" x14ac:dyDescent="0.25">
      <c r="A46" s="9" t="str">
        <f t="shared" si="2"/>
        <v/>
      </c>
      <c r="B46" s="1"/>
      <c r="C46" s="1"/>
      <c r="D46" s="9" t="str">
        <f>IF(B46="", "", VLOOKUP(B46,'Raw Data'!$B$1:$C$701, 2, 0))</f>
        <v/>
      </c>
      <c r="E46" s="10" t="str">
        <f t="shared" si="1"/>
        <v/>
      </c>
    </row>
    <row r="47" spans="1:5" x14ac:dyDescent="0.25">
      <c r="A47" s="9" t="str">
        <f t="shared" si="2"/>
        <v/>
      </c>
      <c r="B47" s="1"/>
      <c r="C47" s="1"/>
      <c r="D47" s="9" t="str">
        <f>IF(B47="", "", VLOOKUP(B47,'Raw Data'!$B$1:$C$701, 2, 0))</f>
        <v/>
      </c>
      <c r="E47" s="10" t="str">
        <f t="shared" si="1"/>
        <v/>
      </c>
    </row>
    <row r="48" spans="1:5" x14ac:dyDescent="0.25">
      <c r="A48" s="9" t="str">
        <f t="shared" si="2"/>
        <v/>
      </c>
      <c r="B48" s="1"/>
      <c r="C48" s="1"/>
      <c r="D48" s="9" t="str">
        <f>IF(B48="", "", VLOOKUP(B48,'Raw Data'!$B$1:$C$701, 2, 0))</f>
        <v/>
      </c>
      <c r="E48" s="10" t="str">
        <f t="shared" si="1"/>
        <v/>
      </c>
    </row>
    <row r="49" spans="1:5" x14ac:dyDescent="0.25">
      <c r="A49" s="9" t="str">
        <f t="shared" si="2"/>
        <v/>
      </c>
      <c r="B49" s="1"/>
      <c r="C49" s="1"/>
      <c r="D49" s="9" t="str">
        <f>IF(B49="", "", VLOOKUP(B49,'Raw Data'!$B$1:$C$701, 2, 0))</f>
        <v/>
      </c>
      <c r="E49" s="10" t="str">
        <f t="shared" si="1"/>
        <v/>
      </c>
    </row>
    <row r="50" spans="1:5" x14ac:dyDescent="0.25">
      <c r="A50" s="9" t="str">
        <f t="shared" si="2"/>
        <v/>
      </c>
      <c r="B50" s="1"/>
      <c r="C50" s="1"/>
      <c r="D50" s="9" t="str">
        <f>IF(B50="", "", VLOOKUP(B50,'Raw Data'!$B$1:$C$701, 2, 0))</f>
        <v/>
      </c>
      <c r="E50" s="10" t="str">
        <f t="shared" si="1"/>
        <v/>
      </c>
    </row>
    <row r="51" spans="1:5" x14ac:dyDescent="0.25">
      <c r="A51" s="9" t="str">
        <f t="shared" si="2"/>
        <v/>
      </c>
      <c r="B51" s="1"/>
      <c r="C51" s="1"/>
      <c r="D51" s="9" t="str">
        <f>IF(B51="", "", VLOOKUP(B51,'Raw Data'!$B$1:$C$701, 2, 0))</f>
        <v/>
      </c>
      <c r="E51" s="10" t="str">
        <f t="shared" si="1"/>
        <v/>
      </c>
    </row>
    <row r="52" spans="1:5" x14ac:dyDescent="0.25">
      <c r="A52" s="11" t="s">
        <v>1</v>
      </c>
      <c r="B52" s="3" t="s">
        <v>1</v>
      </c>
      <c r="C52" s="4">
        <f>SUM(C2:C51)</f>
        <v>5005</v>
      </c>
      <c r="D52" s="11" t="s">
        <v>1</v>
      </c>
      <c r="E52" s="12">
        <f t="shared" ref="E52" si="3">C52/$C$52</f>
        <v>1</v>
      </c>
    </row>
  </sheetData>
  <sheetProtection selectLockedCells="1"/>
  <dataValidations count="2">
    <dataValidation type="list" allowBlank="1" showInputMessage="1" showErrorMessage="1" sqref="B2:B51">
      <formula1>stock_name</formula1>
    </dataValidation>
    <dataValidation type="decimal" allowBlank="1" showInputMessage="1" showErrorMessage="1" sqref="C2:C51">
      <formula1>0</formula1>
      <formula2>99.9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01"/>
  <sheetViews>
    <sheetView topLeftCell="A6" workbookViewId="0">
      <selection activeCell="H2" sqref="H2:H33"/>
    </sheetView>
  </sheetViews>
  <sheetFormatPr defaultRowHeight="15" x14ac:dyDescent="0.25"/>
  <cols>
    <col min="1" max="1" width="9.28515625" style="6" customWidth="1"/>
    <col min="2" max="2" width="39.7109375" style="6" customWidth="1"/>
    <col min="3" max="3" width="17.7109375" style="6" bestFit="1" customWidth="1"/>
    <col min="4" max="16384" width="9.140625" style="6"/>
  </cols>
  <sheetData>
    <row r="1" spans="1:8" x14ac:dyDescent="0.25">
      <c r="A1" s="5" t="s">
        <v>3</v>
      </c>
      <c r="B1" s="5" t="s">
        <v>0</v>
      </c>
      <c r="C1" s="5" t="s">
        <v>2</v>
      </c>
    </row>
    <row r="2" spans="1:8" x14ac:dyDescent="0.25">
      <c r="A2" s="6">
        <v>1</v>
      </c>
      <c r="B2" s="6" t="s">
        <v>291</v>
      </c>
      <c r="C2" s="6" t="s">
        <v>991</v>
      </c>
      <c r="F2" s="6" t="s">
        <v>388</v>
      </c>
      <c r="H2" s="6">
        <v>71</v>
      </c>
    </row>
    <row r="3" spans="1:8" x14ac:dyDescent="0.25">
      <c r="A3" s="6">
        <v>2</v>
      </c>
      <c r="B3" s="6" t="s">
        <v>311</v>
      </c>
      <c r="C3" s="6" t="s">
        <v>1011</v>
      </c>
      <c r="F3" s="6" t="s">
        <v>155</v>
      </c>
      <c r="H3" s="6">
        <v>178</v>
      </c>
    </row>
    <row r="4" spans="1:8" x14ac:dyDescent="0.25">
      <c r="A4" s="6">
        <v>3</v>
      </c>
      <c r="B4" s="6" t="s">
        <v>308</v>
      </c>
      <c r="C4" s="6" t="s">
        <v>1008</v>
      </c>
      <c r="F4" s="6" t="s">
        <v>655</v>
      </c>
      <c r="H4" s="6">
        <v>203</v>
      </c>
    </row>
    <row r="5" spans="1:8" x14ac:dyDescent="0.25">
      <c r="A5" s="6">
        <v>4</v>
      </c>
      <c r="B5" s="6" t="s">
        <v>672</v>
      </c>
      <c r="C5" s="6" t="s">
        <v>1372</v>
      </c>
      <c r="F5" s="6" t="s">
        <v>324</v>
      </c>
      <c r="H5" s="6">
        <v>33</v>
      </c>
    </row>
    <row r="6" spans="1:8" x14ac:dyDescent="0.25">
      <c r="A6" s="6">
        <v>5</v>
      </c>
      <c r="B6" s="6" t="s">
        <v>4</v>
      </c>
      <c r="C6" s="6" t="s">
        <v>704</v>
      </c>
      <c r="F6" s="6" t="s">
        <v>387</v>
      </c>
      <c r="H6" s="6">
        <v>109</v>
      </c>
    </row>
    <row r="7" spans="1:8" x14ac:dyDescent="0.25">
      <c r="A7" s="6">
        <v>6</v>
      </c>
      <c r="B7" s="6" t="s">
        <v>702</v>
      </c>
      <c r="C7" s="6" t="s">
        <v>1402</v>
      </c>
      <c r="F7" s="6" t="s">
        <v>160</v>
      </c>
      <c r="H7" s="6">
        <v>116</v>
      </c>
    </row>
    <row r="8" spans="1:8" x14ac:dyDescent="0.25">
      <c r="A8" s="6">
        <v>7</v>
      </c>
      <c r="B8" s="6" t="s">
        <v>129</v>
      </c>
      <c r="C8" s="6" t="s">
        <v>829</v>
      </c>
      <c r="F8" s="6" t="s">
        <v>27</v>
      </c>
      <c r="H8" s="6">
        <v>145</v>
      </c>
    </row>
    <row r="9" spans="1:8" x14ac:dyDescent="0.25">
      <c r="A9" s="6">
        <v>8</v>
      </c>
      <c r="B9" s="6" t="s">
        <v>114</v>
      </c>
      <c r="C9" s="6" t="s">
        <v>814</v>
      </c>
      <c r="F9" s="6" t="s">
        <v>412</v>
      </c>
      <c r="H9" s="6">
        <v>284</v>
      </c>
    </row>
    <row r="10" spans="1:8" x14ac:dyDescent="0.25">
      <c r="A10" s="6">
        <v>9</v>
      </c>
      <c r="B10" s="6" t="s">
        <v>379</v>
      </c>
      <c r="C10" s="6" t="s">
        <v>1079</v>
      </c>
      <c r="F10" s="6" t="s">
        <v>592</v>
      </c>
      <c r="H10" s="6">
        <v>224</v>
      </c>
    </row>
    <row r="11" spans="1:8" x14ac:dyDescent="0.25">
      <c r="A11" s="6">
        <v>10</v>
      </c>
      <c r="B11" s="6" t="s">
        <v>466</v>
      </c>
      <c r="C11" s="6" t="s">
        <v>1166</v>
      </c>
      <c r="F11" s="6" t="s">
        <v>186</v>
      </c>
      <c r="H11" s="6">
        <v>68</v>
      </c>
    </row>
    <row r="12" spans="1:8" x14ac:dyDescent="0.25">
      <c r="A12" s="6">
        <v>11</v>
      </c>
      <c r="B12" s="6" t="s">
        <v>241</v>
      </c>
      <c r="C12" s="6" t="s">
        <v>941</v>
      </c>
      <c r="F12" s="6" t="s">
        <v>380</v>
      </c>
      <c r="H12" s="6">
        <v>153</v>
      </c>
    </row>
    <row r="13" spans="1:8" x14ac:dyDescent="0.25">
      <c r="A13" s="6">
        <v>12</v>
      </c>
      <c r="B13" s="6" t="s">
        <v>663</v>
      </c>
      <c r="C13" s="6" t="s">
        <v>1363</v>
      </c>
      <c r="F13" s="6" t="s">
        <v>55</v>
      </c>
      <c r="H13" s="6">
        <v>285</v>
      </c>
    </row>
    <row r="14" spans="1:8" x14ac:dyDescent="0.25">
      <c r="A14" s="6">
        <v>13</v>
      </c>
      <c r="B14" s="6" t="s">
        <v>505</v>
      </c>
      <c r="C14" s="6" t="s">
        <v>1205</v>
      </c>
      <c r="F14" s="6" t="s">
        <v>647</v>
      </c>
      <c r="H14" s="6">
        <v>81</v>
      </c>
    </row>
    <row r="15" spans="1:8" x14ac:dyDescent="0.25">
      <c r="A15" s="6">
        <v>14</v>
      </c>
      <c r="B15" s="6" t="s">
        <v>525</v>
      </c>
      <c r="C15" s="6" t="s">
        <v>1225</v>
      </c>
      <c r="F15" s="6" t="s">
        <v>636</v>
      </c>
      <c r="H15" s="6">
        <v>44</v>
      </c>
    </row>
    <row r="16" spans="1:8" x14ac:dyDescent="0.25">
      <c r="A16" s="6">
        <v>15</v>
      </c>
      <c r="B16" s="6" t="s">
        <v>674</v>
      </c>
      <c r="C16" s="6" t="s">
        <v>1374</v>
      </c>
      <c r="F16" s="6" t="s">
        <v>370</v>
      </c>
      <c r="H16" s="6">
        <v>211</v>
      </c>
    </row>
    <row r="17" spans="1:8" x14ac:dyDescent="0.25">
      <c r="A17" s="6">
        <v>16</v>
      </c>
      <c r="B17" s="6" t="s">
        <v>583</v>
      </c>
      <c r="C17" s="6" t="s">
        <v>1283</v>
      </c>
      <c r="F17" s="6" t="s">
        <v>468</v>
      </c>
      <c r="H17" s="6">
        <v>311</v>
      </c>
    </row>
    <row r="18" spans="1:8" x14ac:dyDescent="0.25">
      <c r="A18" s="6">
        <v>17</v>
      </c>
      <c r="B18" s="6" t="s">
        <v>265</v>
      </c>
      <c r="C18" s="6" t="s">
        <v>965</v>
      </c>
      <c r="F18" s="6" t="s">
        <v>63</v>
      </c>
      <c r="H18" s="6">
        <v>185</v>
      </c>
    </row>
    <row r="19" spans="1:8" x14ac:dyDescent="0.25">
      <c r="A19" s="6">
        <v>18</v>
      </c>
      <c r="B19" s="6" t="s">
        <v>632</v>
      </c>
      <c r="C19" s="6" t="s">
        <v>1332</v>
      </c>
      <c r="F19" s="6" t="s">
        <v>161</v>
      </c>
      <c r="H19" s="6">
        <v>158</v>
      </c>
    </row>
    <row r="20" spans="1:8" x14ac:dyDescent="0.25">
      <c r="A20" s="6">
        <v>19</v>
      </c>
      <c r="B20" s="6" t="s">
        <v>569</v>
      </c>
      <c r="C20" s="6" t="s">
        <v>1269</v>
      </c>
      <c r="F20" s="6" t="s">
        <v>533</v>
      </c>
      <c r="H20" s="6">
        <v>338</v>
      </c>
    </row>
    <row r="21" spans="1:8" x14ac:dyDescent="0.25">
      <c r="A21" s="6">
        <v>20</v>
      </c>
      <c r="B21" s="6" t="s">
        <v>609</v>
      </c>
      <c r="C21" s="6" t="s">
        <v>1309</v>
      </c>
      <c r="F21" s="6" t="s">
        <v>608</v>
      </c>
      <c r="H21" s="6">
        <v>105</v>
      </c>
    </row>
    <row r="22" spans="1:8" x14ac:dyDescent="0.25">
      <c r="A22" s="6">
        <v>21</v>
      </c>
      <c r="B22" s="6" t="s">
        <v>5</v>
      </c>
      <c r="C22" s="6" t="s">
        <v>705</v>
      </c>
      <c r="F22" s="6" t="s">
        <v>78</v>
      </c>
      <c r="H22" s="6">
        <v>160</v>
      </c>
    </row>
    <row r="23" spans="1:8" x14ac:dyDescent="0.25">
      <c r="A23" s="6">
        <v>22</v>
      </c>
      <c r="B23" s="6" t="s">
        <v>688</v>
      </c>
      <c r="C23" s="6" t="s">
        <v>1388</v>
      </c>
      <c r="F23" s="6" t="s">
        <v>79</v>
      </c>
      <c r="H23" s="6">
        <v>141</v>
      </c>
    </row>
    <row r="24" spans="1:8" x14ac:dyDescent="0.25">
      <c r="A24" s="6">
        <v>23</v>
      </c>
      <c r="B24" s="6" t="s">
        <v>66</v>
      </c>
      <c r="C24" s="6" t="s">
        <v>766</v>
      </c>
      <c r="F24" s="6" t="s">
        <v>416</v>
      </c>
      <c r="H24" s="6">
        <v>169</v>
      </c>
    </row>
    <row r="25" spans="1:8" x14ac:dyDescent="0.25">
      <c r="A25" s="6">
        <v>24</v>
      </c>
      <c r="B25" s="6" t="s">
        <v>477</v>
      </c>
      <c r="C25" s="6" t="s">
        <v>1177</v>
      </c>
      <c r="F25" s="6" t="s">
        <v>258</v>
      </c>
      <c r="H25" s="6">
        <v>187</v>
      </c>
    </row>
    <row r="26" spans="1:8" x14ac:dyDescent="0.25">
      <c r="A26" s="6">
        <v>25</v>
      </c>
      <c r="B26" s="6" t="s">
        <v>449</v>
      </c>
      <c r="C26" s="6" t="s">
        <v>1149</v>
      </c>
      <c r="F26" s="6" t="s">
        <v>481</v>
      </c>
      <c r="H26" s="6">
        <v>304</v>
      </c>
    </row>
    <row r="27" spans="1:8" x14ac:dyDescent="0.25">
      <c r="A27" s="6">
        <v>26</v>
      </c>
      <c r="B27" s="6" t="s">
        <v>388</v>
      </c>
      <c r="C27" s="6" t="s">
        <v>1088</v>
      </c>
      <c r="F27" s="6" t="s">
        <v>106</v>
      </c>
      <c r="H27" s="6">
        <v>41</v>
      </c>
    </row>
    <row r="28" spans="1:8" x14ac:dyDescent="0.25">
      <c r="A28" s="6">
        <v>27</v>
      </c>
      <c r="B28" s="6" t="s">
        <v>150</v>
      </c>
      <c r="C28" s="6" t="s">
        <v>850</v>
      </c>
      <c r="F28" s="6" t="s">
        <v>317</v>
      </c>
      <c r="H28" s="6">
        <v>117</v>
      </c>
    </row>
    <row r="29" spans="1:8" x14ac:dyDescent="0.25">
      <c r="A29" s="6">
        <v>28</v>
      </c>
      <c r="B29" s="6" t="s">
        <v>201</v>
      </c>
      <c r="C29" s="6" t="s">
        <v>901</v>
      </c>
      <c r="F29" s="6" t="s">
        <v>432</v>
      </c>
      <c r="H29" s="6">
        <v>86</v>
      </c>
    </row>
    <row r="30" spans="1:8" x14ac:dyDescent="0.25">
      <c r="A30" s="6">
        <v>29</v>
      </c>
      <c r="B30" s="6" t="s">
        <v>554</v>
      </c>
      <c r="C30" s="6" t="s">
        <v>1254</v>
      </c>
      <c r="F30" s="6" t="s">
        <v>138</v>
      </c>
      <c r="H30" s="6">
        <v>74</v>
      </c>
    </row>
    <row r="31" spans="1:8" x14ac:dyDescent="0.25">
      <c r="A31" s="6">
        <v>30</v>
      </c>
      <c r="B31" s="6" t="s">
        <v>591</v>
      </c>
      <c r="C31" s="6" t="s">
        <v>1291</v>
      </c>
      <c r="F31" s="6" t="s">
        <v>38</v>
      </c>
      <c r="H31" s="6">
        <v>297</v>
      </c>
    </row>
    <row r="32" spans="1:8" x14ac:dyDescent="0.25">
      <c r="A32" s="6">
        <v>31</v>
      </c>
      <c r="B32" s="6" t="s">
        <v>210</v>
      </c>
      <c r="C32" s="6" t="s">
        <v>910</v>
      </c>
      <c r="F32" s="6" t="s">
        <v>430</v>
      </c>
      <c r="H32" s="6">
        <v>53</v>
      </c>
    </row>
    <row r="33" spans="1:8" x14ac:dyDescent="0.25">
      <c r="A33" s="6">
        <v>32</v>
      </c>
      <c r="B33" s="6" t="s">
        <v>461</v>
      </c>
      <c r="C33" s="6" t="s">
        <v>1161</v>
      </c>
      <c r="F33" s="6" t="s">
        <v>565</v>
      </c>
      <c r="H33" s="6">
        <v>74</v>
      </c>
    </row>
    <row r="34" spans="1:8" x14ac:dyDescent="0.25">
      <c r="A34" s="6">
        <v>33</v>
      </c>
      <c r="B34" s="6" t="s">
        <v>6</v>
      </c>
      <c r="C34" s="6" t="s">
        <v>706</v>
      </c>
    </row>
    <row r="35" spans="1:8" x14ac:dyDescent="0.25">
      <c r="A35" s="6">
        <v>34</v>
      </c>
      <c r="B35" s="6" t="s">
        <v>650</v>
      </c>
      <c r="C35" s="6" t="s">
        <v>1350</v>
      </c>
    </row>
    <row r="36" spans="1:8" x14ac:dyDescent="0.25">
      <c r="A36" s="6">
        <v>35</v>
      </c>
      <c r="B36" s="6" t="s">
        <v>119</v>
      </c>
      <c r="C36" s="6" t="s">
        <v>819</v>
      </c>
    </row>
    <row r="37" spans="1:8" x14ac:dyDescent="0.25">
      <c r="A37" s="6">
        <v>36</v>
      </c>
      <c r="B37" s="6" t="s">
        <v>378</v>
      </c>
      <c r="C37" s="6" t="s">
        <v>1078</v>
      </c>
    </row>
    <row r="38" spans="1:8" x14ac:dyDescent="0.25">
      <c r="A38" s="6">
        <v>37</v>
      </c>
      <c r="B38" s="6" t="s">
        <v>302</v>
      </c>
      <c r="C38" s="6" t="s">
        <v>1002</v>
      </c>
    </row>
    <row r="39" spans="1:8" x14ac:dyDescent="0.25">
      <c r="A39" s="6">
        <v>38</v>
      </c>
      <c r="B39" s="6" t="s">
        <v>633</v>
      </c>
      <c r="C39" s="6" t="s">
        <v>1333</v>
      </c>
    </row>
    <row r="40" spans="1:8" x14ac:dyDescent="0.25">
      <c r="A40" s="6">
        <v>39</v>
      </c>
      <c r="B40" s="6" t="s">
        <v>556</v>
      </c>
      <c r="C40" s="6" t="s">
        <v>1256</v>
      </c>
    </row>
    <row r="41" spans="1:8" x14ac:dyDescent="0.25">
      <c r="A41" s="6">
        <v>40</v>
      </c>
      <c r="B41" s="6" t="s">
        <v>219</v>
      </c>
      <c r="C41" s="6" t="s">
        <v>919</v>
      </c>
    </row>
    <row r="42" spans="1:8" x14ac:dyDescent="0.25">
      <c r="A42" s="6">
        <v>41</v>
      </c>
      <c r="B42" s="6" t="s">
        <v>357</v>
      </c>
      <c r="C42" s="6" t="s">
        <v>1057</v>
      </c>
    </row>
    <row r="43" spans="1:8" x14ac:dyDescent="0.25">
      <c r="A43" s="6">
        <v>42</v>
      </c>
      <c r="B43" s="6" t="s">
        <v>574</v>
      </c>
      <c r="C43" s="6" t="s">
        <v>1274</v>
      </c>
    </row>
    <row r="44" spans="1:8" x14ac:dyDescent="0.25">
      <c r="A44" s="6">
        <v>43</v>
      </c>
      <c r="B44" s="6" t="s">
        <v>162</v>
      </c>
      <c r="C44" s="6" t="s">
        <v>862</v>
      </c>
    </row>
    <row r="45" spans="1:8" x14ac:dyDescent="0.25">
      <c r="A45" s="6">
        <v>44</v>
      </c>
      <c r="B45" s="6" t="s">
        <v>407</v>
      </c>
      <c r="C45" s="6" t="s">
        <v>1107</v>
      </c>
    </row>
    <row r="46" spans="1:8" x14ac:dyDescent="0.25">
      <c r="A46" s="6">
        <v>45</v>
      </c>
      <c r="B46" s="6" t="s">
        <v>341</v>
      </c>
      <c r="C46" s="6" t="s">
        <v>1041</v>
      </c>
    </row>
    <row r="47" spans="1:8" x14ac:dyDescent="0.25">
      <c r="A47" s="6">
        <v>46</v>
      </c>
      <c r="B47" s="6" t="s">
        <v>680</v>
      </c>
      <c r="C47" s="6" t="s">
        <v>1380</v>
      </c>
    </row>
    <row r="48" spans="1:8" x14ac:dyDescent="0.25">
      <c r="A48" s="6">
        <v>47</v>
      </c>
      <c r="B48" s="6" t="s">
        <v>30</v>
      </c>
      <c r="C48" s="6" t="s">
        <v>730</v>
      </c>
    </row>
    <row r="49" spans="1:3" x14ac:dyDescent="0.25">
      <c r="A49" s="6">
        <v>48</v>
      </c>
      <c r="B49" s="6" t="s">
        <v>252</v>
      </c>
      <c r="C49" s="6" t="s">
        <v>952</v>
      </c>
    </row>
    <row r="50" spans="1:3" x14ac:dyDescent="0.25">
      <c r="A50" s="6">
        <v>49</v>
      </c>
      <c r="B50" s="6" t="s">
        <v>126</v>
      </c>
      <c r="C50" s="6" t="s">
        <v>826</v>
      </c>
    </row>
    <row r="51" spans="1:3" x14ac:dyDescent="0.25">
      <c r="A51" s="6">
        <v>50</v>
      </c>
      <c r="B51" s="6" t="s">
        <v>540</v>
      </c>
      <c r="C51" s="6" t="s">
        <v>1240</v>
      </c>
    </row>
    <row r="52" spans="1:3" x14ac:dyDescent="0.25">
      <c r="A52" s="6">
        <v>51</v>
      </c>
      <c r="B52" s="6" t="s">
        <v>497</v>
      </c>
      <c r="C52" s="6" t="s">
        <v>1197</v>
      </c>
    </row>
    <row r="53" spans="1:3" x14ac:dyDescent="0.25">
      <c r="A53" s="6">
        <v>52</v>
      </c>
      <c r="B53" s="6" t="s">
        <v>155</v>
      </c>
      <c r="C53" s="6" t="s">
        <v>855</v>
      </c>
    </row>
    <row r="54" spans="1:3" x14ac:dyDescent="0.25">
      <c r="A54" s="6">
        <v>53</v>
      </c>
      <c r="B54" s="6" t="s">
        <v>529</v>
      </c>
      <c r="C54" s="6" t="s">
        <v>1229</v>
      </c>
    </row>
    <row r="55" spans="1:3" x14ac:dyDescent="0.25">
      <c r="A55" s="6">
        <v>54</v>
      </c>
      <c r="B55" s="6" t="s">
        <v>652</v>
      </c>
      <c r="C55" s="6" t="s">
        <v>1352</v>
      </c>
    </row>
    <row r="56" spans="1:3" x14ac:dyDescent="0.25">
      <c r="A56" s="6">
        <v>55</v>
      </c>
      <c r="B56" s="6" t="s">
        <v>413</v>
      </c>
      <c r="C56" s="6" t="s">
        <v>1113</v>
      </c>
    </row>
    <row r="57" spans="1:3" x14ac:dyDescent="0.25">
      <c r="A57" s="6">
        <v>56</v>
      </c>
      <c r="B57" s="6" t="s">
        <v>482</v>
      </c>
      <c r="C57" s="6" t="s">
        <v>1182</v>
      </c>
    </row>
    <row r="58" spans="1:3" x14ac:dyDescent="0.25">
      <c r="A58" s="6">
        <v>57</v>
      </c>
      <c r="B58" s="6" t="s">
        <v>211</v>
      </c>
      <c r="C58" s="6" t="s">
        <v>911</v>
      </c>
    </row>
    <row r="59" spans="1:3" x14ac:dyDescent="0.25">
      <c r="A59" s="6">
        <v>58</v>
      </c>
      <c r="B59" s="6" t="s">
        <v>9</v>
      </c>
      <c r="C59" s="6" t="s">
        <v>709</v>
      </c>
    </row>
    <row r="60" spans="1:3" x14ac:dyDescent="0.25">
      <c r="A60" s="6">
        <v>59</v>
      </c>
      <c r="B60" s="6" t="s">
        <v>629</v>
      </c>
      <c r="C60" s="6" t="s">
        <v>1329</v>
      </c>
    </row>
    <row r="61" spans="1:3" x14ac:dyDescent="0.25">
      <c r="A61" s="6">
        <v>60</v>
      </c>
      <c r="B61" s="6" t="s">
        <v>320</v>
      </c>
      <c r="C61" s="6" t="s">
        <v>1020</v>
      </c>
    </row>
    <row r="62" spans="1:3" x14ac:dyDescent="0.25">
      <c r="A62" s="6">
        <v>61</v>
      </c>
      <c r="B62" s="6" t="s">
        <v>184</v>
      </c>
      <c r="C62" s="6" t="s">
        <v>884</v>
      </c>
    </row>
    <row r="63" spans="1:3" x14ac:dyDescent="0.25">
      <c r="A63" s="6">
        <v>62</v>
      </c>
      <c r="B63" s="6" t="s">
        <v>240</v>
      </c>
      <c r="C63" s="6" t="s">
        <v>940</v>
      </c>
    </row>
    <row r="64" spans="1:3" x14ac:dyDescent="0.25">
      <c r="A64" s="6">
        <v>63</v>
      </c>
      <c r="B64" s="6" t="s">
        <v>622</v>
      </c>
      <c r="C64" s="6" t="s">
        <v>1322</v>
      </c>
    </row>
    <row r="65" spans="1:3" x14ac:dyDescent="0.25">
      <c r="A65" s="6">
        <v>64</v>
      </c>
      <c r="B65" s="6" t="s">
        <v>374</v>
      </c>
      <c r="C65" s="6" t="s">
        <v>1074</v>
      </c>
    </row>
    <row r="66" spans="1:3" x14ac:dyDescent="0.25">
      <c r="A66" s="6">
        <v>65</v>
      </c>
      <c r="B66" s="6" t="s">
        <v>519</v>
      </c>
      <c r="C66" s="6" t="s">
        <v>1219</v>
      </c>
    </row>
    <row r="67" spans="1:3" x14ac:dyDescent="0.25">
      <c r="A67" s="6">
        <v>66</v>
      </c>
      <c r="B67" s="6" t="s">
        <v>537</v>
      </c>
      <c r="C67" s="6" t="s">
        <v>1237</v>
      </c>
    </row>
    <row r="68" spans="1:3" x14ac:dyDescent="0.25">
      <c r="A68" s="6">
        <v>67</v>
      </c>
      <c r="B68" s="6" t="s">
        <v>10</v>
      </c>
      <c r="C68" s="6" t="s">
        <v>710</v>
      </c>
    </row>
    <row r="69" spans="1:3" x14ac:dyDescent="0.25">
      <c r="A69" s="6">
        <v>68</v>
      </c>
      <c r="B69" s="6" t="s">
        <v>13</v>
      </c>
      <c r="C69" s="6" t="s">
        <v>713</v>
      </c>
    </row>
    <row r="70" spans="1:3" x14ac:dyDescent="0.25">
      <c r="A70" s="6">
        <v>69</v>
      </c>
      <c r="B70" s="6" t="s">
        <v>520</v>
      </c>
      <c r="C70" s="6" t="s">
        <v>1220</v>
      </c>
    </row>
    <row r="71" spans="1:3" x14ac:dyDescent="0.25">
      <c r="A71" s="6">
        <v>70</v>
      </c>
      <c r="B71" s="6" t="s">
        <v>11</v>
      </c>
      <c r="C71" s="6" t="s">
        <v>711</v>
      </c>
    </row>
    <row r="72" spans="1:3" x14ac:dyDescent="0.25">
      <c r="A72" s="6">
        <v>71</v>
      </c>
      <c r="B72" s="6" t="s">
        <v>130</v>
      </c>
      <c r="C72" s="6" t="s">
        <v>830</v>
      </c>
    </row>
    <row r="73" spans="1:3" x14ac:dyDescent="0.25">
      <c r="A73" s="6">
        <v>72</v>
      </c>
      <c r="B73" s="6" t="s">
        <v>338</v>
      </c>
      <c r="C73" s="6" t="s">
        <v>1038</v>
      </c>
    </row>
    <row r="74" spans="1:3" x14ac:dyDescent="0.25">
      <c r="A74" s="6">
        <v>73</v>
      </c>
      <c r="B74" s="6" t="s">
        <v>396</v>
      </c>
      <c r="C74" s="6" t="s">
        <v>1096</v>
      </c>
    </row>
    <row r="75" spans="1:3" x14ac:dyDescent="0.25">
      <c r="A75" s="6">
        <v>74</v>
      </c>
      <c r="B75" s="6" t="s">
        <v>172</v>
      </c>
      <c r="C75" s="6" t="s">
        <v>872</v>
      </c>
    </row>
    <row r="76" spans="1:3" x14ac:dyDescent="0.25">
      <c r="A76" s="6">
        <v>75</v>
      </c>
      <c r="B76" s="6" t="s">
        <v>288</v>
      </c>
      <c r="C76" s="6" t="s">
        <v>988</v>
      </c>
    </row>
    <row r="77" spans="1:3" x14ac:dyDescent="0.25">
      <c r="A77" s="6">
        <v>76</v>
      </c>
      <c r="B77" s="6" t="s">
        <v>14</v>
      </c>
      <c r="C77" s="6" t="s">
        <v>714</v>
      </c>
    </row>
    <row r="78" spans="1:3" x14ac:dyDescent="0.25">
      <c r="A78" s="6">
        <v>77</v>
      </c>
      <c r="B78" s="6" t="s">
        <v>655</v>
      </c>
      <c r="C78" s="6" t="s">
        <v>1355</v>
      </c>
    </row>
    <row r="79" spans="1:3" x14ac:dyDescent="0.25">
      <c r="A79" s="6">
        <v>78</v>
      </c>
      <c r="B79" s="6" t="s">
        <v>359</v>
      </c>
      <c r="C79" s="6" t="s">
        <v>1059</v>
      </c>
    </row>
    <row r="80" spans="1:3" x14ac:dyDescent="0.25">
      <c r="A80" s="6">
        <v>79</v>
      </c>
      <c r="B80" s="6" t="s">
        <v>361</v>
      </c>
      <c r="C80" s="6" t="s">
        <v>1061</v>
      </c>
    </row>
    <row r="81" spans="1:3" x14ac:dyDescent="0.25">
      <c r="A81" s="6">
        <v>80</v>
      </c>
      <c r="B81" s="6" t="s">
        <v>426</v>
      </c>
      <c r="C81" s="6" t="s">
        <v>1126</v>
      </c>
    </row>
    <row r="82" spans="1:3" x14ac:dyDescent="0.25">
      <c r="A82" s="6">
        <v>81</v>
      </c>
      <c r="B82" s="6" t="s">
        <v>16</v>
      </c>
      <c r="C82" s="6" t="s">
        <v>716</v>
      </c>
    </row>
    <row r="83" spans="1:3" x14ac:dyDescent="0.25">
      <c r="A83" s="6">
        <v>82</v>
      </c>
      <c r="B83" s="6" t="s">
        <v>17</v>
      </c>
      <c r="C83" s="6" t="s">
        <v>717</v>
      </c>
    </row>
    <row r="84" spans="1:3" x14ac:dyDescent="0.25">
      <c r="A84" s="6">
        <v>83</v>
      </c>
      <c r="B84" s="6" t="s">
        <v>18</v>
      </c>
      <c r="C84" s="6" t="s">
        <v>718</v>
      </c>
    </row>
    <row r="85" spans="1:3" x14ac:dyDescent="0.25">
      <c r="A85" s="6">
        <v>84</v>
      </c>
      <c r="B85" s="6" t="s">
        <v>202</v>
      </c>
      <c r="C85" s="6" t="s">
        <v>902</v>
      </c>
    </row>
    <row r="86" spans="1:3" x14ac:dyDescent="0.25">
      <c r="A86" s="6">
        <v>85</v>
      </c>
      <c r="B86" s="6" t="s">
        <v>19</v>
      </c>
      <c r="C86" s="6" t="s">
        <v>719</v>
      </c>
    </row>
    <row r="87" spans="1:3" x14ac:dyDescent="0.25">
      <c r="A87" s="6">
        <v>86</v>
      </c>
      <c r="B87" s="6" t="s">
        <v>222</v>
      </c>
      <c r="C87" s="6" t="s">
        <v>922</v>
      </c>
    </row>
    <row r="88" spans="1:3" x14ac:dyDescent="0.25">
      <c r="A88" s="6">
        <v>87</v>
      </c>
      <c r="B88" s="6" t="s">
        <v>546</v>
      </c>
      <c r="C88" s="6" t="s">
        <v>1246</v>
      </c>
    </row>
    <row r="89" spans="1:3" x14ac:dyDescent="0.25">
      <c r="A89" s="6">
        <v>88</v>
      </c>
      <c r="B89" s="6" t="s">
        <v>401</v>
      </c>
      <c r="C89" s="6" t="s">
        <v>1101</v>
      </c>
    </row>
    <row r="90" spans="1:3" x14ac:dyDescent="0.25">
      <c r="A90" s="6">
        <v>89</v>
      </c>
      <c r="B90" s="6" t="s">
        <v>21</v>
      </c>
      <c r="C90" s="7" t="s">
        <v>721</v>
      </c>
    </row>
    <row r="91" spans="1:3" x14ac:dyDescent="0.25">
      <c r="A91" s="6">
        <v>90</v>
      </c>
      <c r="B91" s="6" t="s">
        <v>178</v>
      </c>
      <c r="C91" s="6" t="s">
        <v>878</v>
      </c>
    </row>
    <row r="92" spans="1:3" x14ac:dyDescent="0.25">
      <c r="A92" s="6">
        <v>91</v>
      </c>
      <c r="B92" s="6" t="s">
        <v>654</v>
      </c>
      <c r="C92" s="6" t="s">
        <v>1354</v>
      </c>
    </row>
    <row r="93" spans="1:3" x14ac:dyDescent="0.25">
      <c r="A93" s="6">
        <v>92</v>
      </c>
      <c r="B93" s="6" t="s">
        <v>20</v>
      </c>
      <c r="C93" s="6" t="s">
        <v>720</v>
      </c>
    </row>
    <row r="94" spans="1:3" x14ac:dyDescent="0.25">
      <c r="A94" s="6">
        <v>93</v>
      </c>
      <c r="B94" s="6" t="s">
        <v>131</v>
      </c>
      <c r="C94" s="6" t="s">
        <v>831</v>
      </c>
    </row>
    <row r="95" spans="1:3" x14ac:dyDescent="0.25">
      <c r="A95" s="6">
        <v>94</v>
      </c>
      <c r="B95" s="6" t="s">
        <v>31</v>
      </c>
      <c r="C95" s="6" t="s">
        <v>731</v>
      </c>
    </row>
    <row r="96" spans="1:3" x14ac:dyDescent="0.25">
      <c r="A96" s="6">
        <v>95</v>
      </c>
      <c r="B96" s="6" t="s">
        <v>136</v>
      </c>
      <c r="C96" s="6" t="s">
        <v>836</v>
      </c>
    </row>
    <row r="97" spans="1:3" x14ac:dyDescent="0.25">
      <c r="A97" s="6">
        <v>96</v>
      </c>
      <c r="B97" s="6" t="s">
        <v>403</v>
      </c>
      <c r="C97" s="6" t="s">
        <v>1103</v>
      </c>
    </row>
    <row r="98" spans="1:3" x14ac:dyDescent="0.25">
      <c r="A98" s="6">
        <v>97</v>
      </c>
      <c r="B98" s="6" t="s">
        <v>424</v>
      </c>
      <c r="C98" s="6" t="s">
        <v>1124</v>
      </c>
    </row>
    <row r="99" spans="1:3" x14ac:dyDescent="0.25">
      <c r="A99" s="6">
        <v>98</v>
      </c>
      <c r="B99" s="6" t="s">
        <v>99</v>
      </c>
      <c r="C99" s="6" t="s">
        <v>799</v>
      </c>
    </row>
    <row r="100" spans="1:3" x14ac:dyDescent="0.25">
      <c r="A100" s="6">
        <v>99</v>
      </c>
      <c r="B100" s="6" t="s">
        <v>399</v>
      </c>
      <c r="C100" s="6" t="s">
        <v>1099</v>
      </c>
    </row>
    <row r="101" spans="1:3" x14ac:dyDescent="0.25">
      <c r="A101" s="6">
        <v>100</v>
      </c>
      <c r="B101" s="6" t="s">
        <v>200</v>
      </c>
      <c r="C101" s="6" t="s">
        <v>900</v>
      </c>
    </row>
    <row r="102" spans="1:3" x14ac:dyDescent="0.25">
      <c r="A102" s="6">
        <v>101</v>
      </c>
      <c r="B102" s="6" t="s">
        <v>324</v>
      </c>
      <c r="C102" s="6" t="s">
        <v>1024</v>
      </c>
    </row>
    <row r="103" spans="1:3" x14ac:dyDescent="0.25">
      <c r="A103" s="6">
        <v>102</v>
      </c>
      <c r="B103" s="6" t="s">
        <v>22</v>
      </c>
      <c r="C103" s="6" t="s">
        <v>722</v>
      </c>
    </row>
    <row r="104" spans="1:3" x14ac:dyDescent="0.25">
      <c r="A104" s="6">
        <v>103</v>
      </c>
      <c r="B104" s="6" t="s">
        <v>312</v>
      </c>
      <c r="C104" s="6" t="s">
        <v>1012</v>
      </c>
    </row>
    <row r="105" spans="1:3" x14ac:dyDescent="0.25">
      <c r="A105" s="6">
        <v>104</v>
      </c>
      <c r="B105" s="6" t="s">
        <v>166</v>
      </c>
      <c r="C105" s="6" t="s">
        <v>866</v>
      </c>
    </row>
    <row r="106" spans="1:3" x14ac:dyDescent="0.25">
      <c r="A106" s="6">
        <v>105</v>
      </c>
      <c r="B106" s="6" t="s">
        <v>8</v>
      </c>
      <c r="C106" s="6" t="s">
        <v>708</v>
      </c>
    </row>
    <row r="107" spans="1:3" x14ac:dyDescent="0.25">
      <c r="A107" s="6">
        <v>106</v>
      </c>
      <c r="B107" s="6" t="s">
        <v>171</v>
      </c>
      <c r="C107" s="6" t="s">
        <v>871</v>
      </c>
    </row>
    <row r="108" spans="1:3" x14ac:dyDescent="0.25">
      <c r="A108" s="6">
        <v>107</v>
      </c>
      <c r="B108" s="6" t="s">
        <v>135</v>
      </c>
      <c r="C108" s="6" t="s">
        <v>835</v>
      </c>
    </row>
    <row r="109" spans="1:3" x14ac:dyDescent="0.25">
      <c r="A109" s="6">
        <v>108</v>
      </c>
      <c r="B109" s="6" t="s">
        <v>510</v>
      </c>
      <c r="C109" s="6" t="s">
        <v>1210</v>
      </c>
    </row>
    <row r="110" spans="1:3" x14ac:dyDescent="0.25">
      <c r="A110" s="6">
        <v>109</v>
      </c>
      <c r="B110" s="6" t="s">
        <v>156</v>
      </c>
      <c r="C110" s="6" t="s">
        <v>856</v>
      </c>
    </row>
    <row r="111" spans="1:3" x14ac:dyDescent="0.25">
      <c r="A111" s="6">
        <v>110</v>
      </c>
      <c r="B111" s="6" t="s">
        <v>387</v>
      </c>
      <c r="C111" s="6" t="s">
        <v>1087</v>
      </c>
    </row>
    <row r="112" spans="1:3" x14ac:dyDescent="0.25">
      <c r="A112" s="6">
        <v>111</v>
      </c>
      <c r="B112" s="6" t="s">
        <v>484</v>
      </c>
      <c r="C112" s="6" t="s">
        <v>1184</v>
      </c>
    </row>
    <row r="113" spans="1:3" x14ac:dyDescent="0.25">
      <c r="A113" s="6">
        <v>112</v>
      </c>
      <c r="B113" s="6" t="s">
        <v>231</v>
      </c>
      <c r="C113" s="6" t="s">
        <v>931</v>
      </c>
    </row>
    <row r="114" spans="1:3" x14ac:dyDescent="0.25">
      <c r="A114" s="6">
        <v>113</v>
      </c>
      <c r="B114" s="6" t="s">
        <v>411</v>
      </c>
      <c r="C114" s="6" t="s">
        <v>1111</v>
      </c>
    </row>
    <row r="115" spans="1:3" x14ac:dyDescent="0.25">
      <c r="A115" s="6">
        <v>114</v>
      </c>
      <c r="B115" s="6" t="s">
        <v>319</v>
      </c>
      <c r="C115" s="6" t="s">
        <v>1019</v>
      </c>
    </row>
    <row r="116" spans="1:3" x14ac:dyDescent="0.25">
      <c r="A116" s="6">
        <v>115</v>
      </c>
      <c r="B116" s="6" t="s">
        <v>353</v>
      </c>
      <c r="C116" s="6" t="s">
        <v>1053</v>
      </c>
    </row>
    <row r="117" spans="1:3" x14ac:dyDescent="0.25">
      <c r="A117" s="6">
        <v>116</v>
      </c>
      <c r="B117" s="6" t="s">
        <v>244</v>
      </c>
      <c r="C117" s="6" t="s">
        <v>944</v>
      </c>
    </row>
    <row r="118" spans="1:3" x14ac:dyDescent="0.25">
      <c r="A118" s="6">
        <v>117</v>
      </c>
      <c r="B118" s="6" t="s">
        <v>562</v>
      </c>
      <c r="C118" s="6" t="s">
        <v>1262</v>
      </c>
    </row>
    <row r="119" spans="1:3" x14ac:dyDescent="0.25">
      <c r="A119" s="6">
        <v>118</v>
      </c>
      <c r="B119" s="6" t="s">
        <v>160</v>
      </c>
      <c r="C119" s="6" t="s">
        <v>860</v>
      </c>
    </row>
    <row r="120" spans="1:3" x14ac:dyDescent="0.25">
      <c r="A120" s="6">
        <v>119</v>
      </c>
      <c r="B120" s="6" t="s">
        <v>268</v>
      </c>
      <c r="C120" s="6" t="s">
        <v>968</v>
      </c>
    </row>
    <row r="121" spans="1:3" x14ac:dyDescent="0.25">
      <c r="A121" s="6">
        <v>120</v>
      </c>
      <c r="B121" s="6" t="s">
        <v>163</v>
      </c>
      <c r="C121" s="6" t="s">
        <v>863</v>
      </c>
    </row>
    <row r="122" spans="1:3" x14ac:dyDescent="0.25">
      <c r="A122" s="6">
        <v>121</v>
      </c>
      <c r="B122" s="6" t="s">
        <v>496</v>
      </c>
      <c r="C122" s="6" t="s">
        <v>1196</v>
      </c>
    </row>
    <row r="123" spans="1:3" x14ac:dyDescent="0.25">
      <c r="A123" s="6">
        <v>122</v>
      </c>
      <c r="B123" s="6" t="s">
        <v>434</v>
      </c>
      <c r="C123" s="6" t="s">
        <v>1134</v>
      </c>
    </row>
    <row r="124" spans="1:3" x14ac:dyDescent="0.25">
      <c r="A124" s="6">
        <v>123</v>
      </c>
      <c r="B124" s="6" t="s">
        <v>15</v>
      </c>
      <c r="C124" s="6" t="s">
        <v>715</v>
      </c>
    </row>
    <row r="125" spans="1:3" x14ac:dyDescent="0.25">
      <c r="A125" s="6">
        <v>124</v>
      </c>
      <c r="B125" s="6" t="s">
        <v>402</v>
      </c>
      <c r="C125" s="6" t="s">
        <v>1102</v>
      </c>
    </row>
    <row r="126" spans="1:3" x14ac:dyDescent="0.25">
      <c r="A126" s="6">
        <v>125</v>
      </c>
      <c r="B126" s="6" t="s">
        <v>23</v>
      </c>
      <c r="C126" s="6" t="s">
        <v>723</v>
      </c>
    </row>
    <row r="127" spans="1:3" x14ac:dyDescent="0.25">
      <c r="A127" s="6">
        <v>126</v>
      </c>
      <c r="B127" s="6" t="s">
        <v>679</v>
      </c>
      <c r="C127" s="6" t="s">
        <v>1379</v>
      </c>
    </row>
    <row r="128" spans="1:3" x14ac:dyDescent="0.25">
      <c r="A128" s="6">
        <v>127</v>
      </c>
      <c r="B128" s="6" t="s">
        <v>24</v>
      </c>
      <c r="C128" s="6" t="s">
        <v>724</v>
      </c>
    </row>
    <row r="129" spans="1:3" x14ac:dyDescent="0.25">
      <c r="A129" s="6">
        <v>128</v>
      </c>
      <c r="B129" s="6" t="s">
        <v>35</v>
      </c>
      <c r="C129" s="6" t="s">
        <v>735</v>
      </c>
    </row>
    <row r="130" spans="1:3" x14ac:dyDescent="0.25">
      <c r="A130" s="6">
        <v>129</v>
      </c>
      <c r="B130" s="6" t="s">
        <v>183</v>
      </c>
      <c r="C130" s="6" t="s">
        <v>883</v>
      </c>
    </row>
    <row r="131" spans="1:3" x14ac:dyDescent="0.25">
      <c r="A131" s="6">
        <v>130</v>
      </c>
      <c r="B131" s="6" t="s">
        <v>233</v>
      </c>
      <c r="C131" s="6" t="s">
        <v>933</v>
      </c>
    </row>
    <row r="132" spans="1:3" x14ac:dyDescent="0.25">
      <c r="A132" s="6">
        <v>131</v>
      </c>
      <c r="B132" s="6" t="s">
        <v>561</v>
      </c>
      <c r="C132" s="6" t="s">
        <v>1261</v>
      </c>
    </row>
    <row r="133" spans="1:3" x14ac:dyDescent="0.25">
      <c r="A133" s="6">
        <v>132</v>
      </c>
      <c r="B133" s="6" t="s">
        <v>26</v>
      </c>
      <c r="C133" s="6" t="s">
        <v>726</v>
      </c>
    </row>
    <row r="134" spans="1:3" x14ac:dyDescent="0.25">
      <c r="A134" s="6">
        <v>133</v>
      </c>
      <c r="B134" s="6" t="s">
        <v>373</v>
      </c>
      <c r="C134" s="6" t="s">
        <v>1073</v>
      </c>
    </row>
    <row r="135" spans="1:3" x14ac:dyDescent="0.25">
      <c r="A135" s="6">
        <v>134</v>
      </c>
      <c r="B135" s="6" t="s">
        <v>203</v>
      </c>
      <c r="C135" s="6" t="s">
        <v>903</v>
      </c>
    </row>
    <row r="136" spans="1:3" x14ac:dyDescent="0.25">
      <c r="A136" s="6">
        <v>135</v>
      </c>
      <c r="B136" s="6" t="s">
        <v>543</v>
      </c>
      <c r="C136" s="6" t="s">
        <v>1243</v>
      </c>
    </row>
    <row r="137" spans="1:3" x14ac:dyDescent="0.25">
      <c r="A137" s="6">
        <v>136</v>
      </c>
      <c r="B137" s="6" t="s">
        <v>631</v>
      </c>
      <c r="C137" s="6" t="s">
        <v>1331</v>
      </c>
    </row>
    <row r="138" spans="1:3" x14ac:dyDescent="0.25">
      <c r="A138" s="6">
        <v>137</v>
      </c>
      <c r="B138" s="6" t="s">
        <v>433</v>
      </c>
      <c r="C138" s="6" t="s">
        <v>1133</v>
      </c>
    </row>
    <row r="139" spans="1:3" x14ac:dyDescent="0.25">
      <c r="A139" s="6">
        <v>138</v>
      </c>
      <c r="B139" s="6" t="s">
        <v>157</v>
      </c>
      <c r="C139" s="6" t="s">
        <v>857</v>
      </c>
    </row>
    <row r="140" spans="1:3" x14ac:dyDescent="0.25">
      <c r="A140" s="6">
        <v>139</v>
      </c>
      <c r="B140" s="6" t="s">
        <v>346</v>
      </c>
      <c r="C140" s="6" t="s">
        <v>1046</v>
      </c>
    </row>
    <row r="141" spans="1:3" x14ac:dyDescent="0.25">
      <c r="A141" s="6">
        <v>140</v>
      </c>
      <c r="B141" s="6" t="s">
        <v>204</v>
      </c>
      <c r="C141" s="6" t="s">
        <v>904</v>
      </c>
    </row>
    <row r="142" spans="1:3" x14ac:dyDescent="0.25">
      <c r="A142" s="6">
        <v>141</v>
      </c>
      <c r="B142" s="6" t="s">
        <v>218</v>
      </c>
      <c r="C142" s="6" t="s">
        <v>918</v>
      </c>
    </row>
    <row r="143" spans="1:3" x14ac:dyDescent="0.25">
      <c r="A143" s="6">
        <v>142</v>
      </c>
      <c r="B143" s="6" t="s">
        <v>670</v>
      </c>
      <c r="C143" s="6" t="s">
        <v>1370</v>
      </c>
    </row>
    <row r="144" spans="1:3" x14ac:dyDescent="0.25">
      <c r="A144" s="6">
        <v>143</v>
      </c>
      <c r="B144" s="6" t="s">
        <v>27</v>
      </c>
      <c r="C144" s="6" t="s">
        <v>727</v>
      </c>
    </row>
    <row r="145" spans="1:3" x14ac:dyDescent="0.25">
      <c r="A145" s="6">
        <v>144</v>
      </c>
      <c r="B145" s="6" t="s">
        <v>603</v>
      </c>
      <c r="C145" s="6" t="s">
        <v>1303</v>
      </c>
    </row>
    <row r="146" spans="1:3" x14ac:dyDescent="0.25">
      <c r="A146" s="6">
        <v>145</v>
      </c>
      <c r="B146" s="6" t="s">
        <v>695</v>
      </c>
      <c r="C146" s="6" t="s">
        <v>1395</v>
      </c>
    </row>
    <row r="147" spans="1:3" x14ac:dyDescent="0.25">
      <c r="A147" s="6">
        <v>146</v>
      </c>
      <c r="B147" s="6" t="s">
        <v>127</v>
      </c>
      <c r="C147" s="6" t="s">
        <v>827</v>
      </c>
    </row>
    <row r="148" spans="1:3" x14ac:dyDescent="0.25">
      <c r="A148" s="6">
        <v>147</v>
      </c>
      <c r="B148" s="6" t="s">
        <v>367</v>
      </c>
      <c r="C148" s="6" t="s">
        <v>1067</v>
      </c>
    </row>
    <row r="149" spans="1:3" x14ac:dyDescent="0.25">
      <c r="A149" s="6">
        <v>148</v>
      </c>
      <c r="B149" s="6" t="s">
        <v>532</v>
      </c>
      <c r="C149" s="6" t="s">
        <v>1232</v>
      </c>
    </row>
    <row r="150" spans="1:3" x14ac:dyDescent="0.25">
      <c r="A150" s="6">
        <v>149</v>
      </c>
      <c r="B150" s="6" t="s">
        <v>28</v>
      </c>
      <c r="C150" s="6" t="s">
        <v>728</v>
      </c>
    </row>
    <row r="151" spans="1:3" x14ac:dyDescent="0.25">
      <c r="A151" s="6">
        <v>150</v>
      </c>
      <c r="B151" s="6" t="s">
        <v>676</v>
      </c>
      <c r="C151" s="6" t="s">
        <v>1376</v>
      </c>
    </row>
    <row r="152" spans="1:3" x14ac:dyDescent="0.25">
      <c r="A152" s="6">
        <v>151</v>
      </c>
      <c r="B152" s="6" t="s">
        <v>29</v>
      </c>
      <c r="C152" s="6" t="s">
        <v>729</v>
      </c>
    </row>
    <row r="153" spans="1:3" x14ac:dyDescent="0.25">
      <c r="A153" s="6">
        <v>152</v>
      </c>
      <c r="B153" s="6" t="s">
        <v>467</v>
      </c>
      <c r="C153" s="6" t="s">
        <v>1167</v>
      </c>
    </row>
    <row r="154" spans="1:3" x14ac:dyDescent="0.25">
      <c r="A154" s="6">
        <v>153</v>
      </c>
      <c r="B154" s="6" t="s">
        <v>289</v>
      </c>
      <c r="C154" s="6" t="s">
        <v>989</v>
      </c>
    </row>
    <row r="155" spans="1:3" x14ac:dyDescent="0.25">
      <c r="A155" s="6">
        <v>154</v>
      </c>
      <c r="B155" s="6" t="s">
        <v>141</v>
      </c>
      <c r="C155" s="6" t="s">
        <v>841</v>
      </c>
    </row>
    <row r="156" spans="1:3" x14ac:dyDescent="0.25">
      <c r="A156" s="6">
        <v>155</v>
      </c>
      <c r="B156" s="6" t="s">
        <v>205</v>
      </c>
      <c r="C156" s="6" t="s">
        <v>905</v>
      </c>
    </row>
    <row r="157" spans="1:3" x14ac:dyDescent="0.25">
      <c r="A157" s="6">
        <v>156</v>
      </c>
      <c r="B157" s="6" t="s">
        <v>488</v>
      </c>
      <c r="C157" s="6" t="s">
        <v>1188</v>
      </c>
    </row>
    <row r="158" spans="1:3" x14ac:dyDescent="0.25">
      <c r="A158" s="6">
        <v>157</v>
      </c>
      <c r="B158" s="6" t="s">
        <v>528</v>
      </c>
      <c r="C158" s="6" t="s">
        <v>1228</v>
      </c>
    </row>
    <row r="159" spans="1:3" x14ac:dyDescent="0.25">
      <c r="A159" s="6">
        <v>158</v>
      </c>
      <c r="B159" s="6" t="s">
        <v>267</v>
      </c>
      <c r="C159" s="6" t="s">
        <v>967</v>
      </c>
    </row>
    <row r="160" spans="1:3" x14ac:dyDescent="0.25">
      <c r="A160" s="6">
        <v>159</v>
      </c>
      <c r="B160" s="6" t="s">
        <v>40</v>
      </c>
      <c r="C160" s="6" t="s">
        <v>740</v>
      </c>
    </row>
    <row r="161" spans="1:3" x14ac:dyDescent="0.25">
      <c r="A161" s="6">
        <v>160</v>
      </c>
      <c r="B161" s="6" t="s">
        <v>214</v>
      </c>
      <c r="C161" s="6" t="s">
        <v>914</v>
      </c>
    </row>
    <row r="162" spans="1:3" x14ac:dyDescent="0.25">
      <c r="A162" s="6">
        <v>161</v>
      </c>
      <c r="B162" s="6" t="s">
        <v>610</v>
      </c>
      <c r="C162" s="6" t="s">
        <v>1310</v>
      </c>
    </row>
    <row r="163" spans="1:3" x14ac:dyDescent="0.25">
      <c r="A163" s="6">
        <v>162</v>
      </c>
      <c r="B163" s="6" t="s">
        <v>486</v>
      </c>
      <c r="C163" s="6" t="s">
        <v>1186</v>
      </c>
    </row>
    <row r="164" spans="1:3" x14ac:dyDescent="0.25">
      <c r="A164" s="6">
        <v>163</v>
      </c>
      <c r="B164" s="6" t="s">
        <v>635</v>
      </c>
      <c r="C164" s="6" t="s">
        <v>1335</v>
      </c>
    </row>
    <row r="165" spans="1:3" x14ac:dyDescent="0.25">
      <c r="A165" s="6">
        <v>164</v>
      </c>
      <c r="B165" s="6" t="s">
        <v>412</v>
      </c>
      <c r="C165" s="6" t="s">
        <v>1112</v>
      </c>
    </row>
    <row r="166" spans="1:3" x14ac:dyDescent="0.25">
      <c r="A166" s="6">
        <v>165</v>
      </c>
      <c r="B166" s="6" t="s">
        <v>634</v>
      </c>
      <c r="C166" s="6" t="s">
        <v>1334</v>
      </c>
    </row>
    <row r="167" spans="1:3" x14ac:dyDescent="0.25">
      <c r="A167" s="6">
        <v>166</v>
      </c>
      <c r="B167" s="6" t="s">
        <v>493</v>
      </c>
      <c r="C167" s="6" t="s">
        <v>1193</v>
      </c>
    </row>
    <row r="168" spans="1:3" x14ac:dyDescent="0.25">
      <c r="A168" s="6">
        <v>167</v>
      </c>
      <c r="B168" s="6" t="s">
        <v>662</v>
      </c>
      <c r="C168" s="6" t="s">
        <v>1362</v>
      </c>
    </row>
    <row r="169" spans="1:3" x14ac:dyDescent="0.25">
      <c r="A169" s="6">
        <v>168</v>
      </c>
      <c r="B169" s="6" t="s">
        <v>592</v>
      </c>
      <c r="C169" s="6" t="s">
        <v>1292</v>
      </c>
    </row>
    <row r="170" spans="1:3" x14ac:dyDescent="0.25">
      <c r="A170" s="6">
        <v>169</v>
      </c>
      <c r="B170" s="6" t="s">
        <v>42</v>
      </c>
      <c r="C170" s="6" t="s">
        <v>742</v>
      </c>
    </row>
    <row r="171" spans="1:3" x14ac:dyDescent="0.25">
      <c r="A171" s="6">
        <v>170</v>
      </c>
      <c r="B171" s="6" t="s">
        <v>298</v>
      </c>
      <c r="C171" s="6" t="s">
        <v>998</v>
      </c>
    </row>
    <row r="172" spans="1:3" x14ac:dyDescent="0.25">
      <c r="A172" s="6">
        <v>171</v>
      </c>
      <c r="B172" s="6" t="s">
        <v>437</v>
      </c>
      <c r="C172" s="6" t="s">
        <v>1137</v>
      </c>
    </row>
    <row r="173" spans="1:3" x14ac:dyDescent="0.25">
      <c r="A173" s="6">
        <v>172</v>
      </c>
      <c r="B173" s="6" t="s">
        <v>43</v>
      </c>
      <c r="C173" s="6" t="s">
        <v>743</v>
      </c>
    </row>
    <row r="174" spans="1:3" x14ac:dyDescent="0.25">
      <c r="A174" s="6">
        <v>173</v>
      </c>
      <c r="B174" s="6" t="s">
        <v>509</v>
      </c>
      <c r="C174" s="6" t="s">
        <v>1209</v>
      </c>
    </row>
    <row r="175" spans="1:3" x14ac:dyDescent="0.25">
      <c r="A175" s="6">
        <v>174</v>
      </c>
      <c r="B175" s="6" t="s">
        <v>506</v>
      </c>
      <c r="C175" s="6" t="s">
        <v>1206</v>
      </c>
    </row>
    <row r="176" spans="1:3" x14ac:dyDescent="0.25">
      <c r="A176" s="6">
        <v>175</v>
      </c>
      <c r="B176" s="6" t="s">
        <v>186</v>
      </c>
      <c r="C176" s="6" t="s">
        <v>886</v>
      </c>
    </row>
    <row r="177" spans="1:3" x14ac:dyDescent="0.25">
      <c r="A177" s="6">
        <v>176</v>
      </c>
      <c r="B177" s="6" t="s">
        <v>158</v>
      </c>
      <c r="C177" s="6" t="s">
        <v>858</v>
      </c>
    </row>
    <row r="178" spans="1:3" x14ac:dyDescent="0.25">
      <c r="A178" s="6">
        <v>177</v>
      </c>
      <c r="B178" s="6" t="s">
        <v>41</v>
      </c>
      <c r="C178" s="6" t="s">
        <v>741</v>
      </c>
    </row>
    <row r="179" spans="1:3" x14ac:dyDescent="0.25">
      <c r="A179" s="6">
        <v>178</v>
      </c>
      <c r="B179" s="6" t="s">
        <v>279</v>
      </c>
      <c r="C179" s="6" t="s">
        <v>979</v>
      </c>
    </row>
    <row r="180" spans="1:3" x14ac:dyDescent="0.25">
      <c r="A180" s="6">
        <v>179</v>
      </c>
      <c r="B180" s="6" t="s">
        <v>340</v>
      </c>
      <c r="C180" s="6" t="s">
        <v>1040</v>
      </c>
    </row>
    <row r="181" spans="1:3" x14ac:dyDescent="0.25">
      <c r="A181" s="6">
        <v>180</v>
      </c>
      <c r="B181" s="6" t="s">
        <v>615</v>
      </c>
      <c r="C181" s="6" t="s">
        <v>1315</v>
      </c>
    </row>
    <row r="182" spans="1:3" x14ac:dyDescent="0.25">
      <c r="A182" s="6">
        <v>181</v>
      </c>
      <c r="B182" s="6" t="s">
        <v>368</v>
      </c>
      <c r="C182" s="6" t="s">
        <v>1068</v>
      </c>
    </row>
    <row r="183" spans="1:3" x14ac:dyDescent="0.25">
      <c r="A183" s="6">
        <v>182</v>
      </c>
      <c r="B183" s="6" t="s">
        <v>46</v>
      </c>
      <c r="C183" s="6" t="s">
        <v>746</v>
      </c>
    </row>
    <row r="184" spans="1:3" x14ac:dyDescent="0.25">
      <c r="A184" s="6">
        <v>183</v>
      </c>
      <c r="B184" s="6" t="s">
        <v>600</v>
      </c>
      <c r="C184" s="6" t="s">
        <v>1300</v>
      </c>
    </row>
    <row r="185" spans="1:3" x14ac:dyDescent="0.25">
      <c r="A185" s="6">
        <v>184</v>
      </c>
      <c r="B185" s="6" t="s">
        <v>628</v>
      </c>
      <c r="C185" s="6" t="s">
        <v>1328</v>
      </c>
    </row>
    <row r="186" spans="1:3" x14ac:dyDescent="0.25">
      <c r="A186" s="6">
        <v>185</v>
      </c>
      <c r="B186" s="6" t="s">
        <v>45</v>
      </c>
      <c r="C186" s="6" t="s">
        <v>745</v>
      </c>
    </row>
    <row r="187" spans="1:3" x14ac:dyDescent="0.25">
      <c r="A187" s="6">
        <v>186</v>
      </c>
      <c r="B187" s="6" t="s">
        <v>132</v>
      </c>
      <c r="C187" s="6" t="s">
        <v>832</v>
      </c>
    </row>
    <row r="188" spans="1:3" x14ac:dyDescent="0.25">
      <c r="A188" s="6">
        <v>187</v>
      </c>
      <c r="B188" s="6" t="s">
        <v>350</v>
      </c>
      <c r="C188" s="6" t="s">
        <v>1050</v>
      </c>
    </row>
    <row r="189" spans="1:3" x14ac:dyDescent="0.25">
      <c r="A189" s="6">
        <v>188</v>
      </c>
      <c r="B189" s="6" t="s">
        <v>142</v>
      </c>
      <c r="C189" s="6" t="s">
        <v>842</v>
      </c>
    </row>
    <row r="190" spans="1:3" x14ac:dyDescent="0.25">
      <c r="A190" s="6">
        <v>189</v>
      </c>
      <c r="B190" s="6" t="s">
        <v>25</v>
      </c>
      <c r="C190" s="6" t="s">
        <v>725</v>
      </c>
    </row>
    <row r="191" spans="1:3" x14ac:dyDescent="0.25">
      <c r="A191" s="6">
        <v>190</v>
      </c>
      <c r="B191" s="6" t="s">
        <v>354</v>
      </c>
      <c r="C191" s="6" t="s">
        <v>1054</v>
      </c>
    </row>
    <row r="192" spans="1:3" x14ac:dyDescent="0.25">
      <c r="A192" s="6">
        <v>191</v>
      </c>
      <c r="B192" s="6" t="s">
        <v>123</v>
      </c>
      <c r="C192" s="6" t="s">
        <v>823</v>
      </c>
    </row>
    <row r="193" spans="1:3" x14ac:dyDescent="0.25">
      <c r="A193" s="6">
        <v>192</v>
      </c>
      <c r="B193" s="6" t="s">
        <v>194</v>
      </c>
      <c r="C193" s="6" t="s">
        <v>894</v>
      </c>
    </row>
    <row r="194" spans="1:3" x14ac:dyDescent="0.25">
      <c r="A194" s="6">
        <v>193</v>
      </c>
      <c r="B194" s="6" t="s">
        <v>666</v>
      </c>
      <c r="C194" s="6" t="s">
        <v>1366</v>
      </c>
    </row>
    <row r="195" spans="1:3" x14ac:dyDescent="0.25">
      <c r="A195" s="6">
        <v>194</v>
      </c>
      <c r="B195" s="6" t="s">
        <v>47</v>
      </c>
      <c r="C195" s="6" t="s">
        <v>747</v>
      </c>
    </row>
    <row r="196" spans="1:3" x14ac:dyDescent="0.25">
      <c r="A196" s="6">
        <v>195</v>
      </c>
      <c r="B196" s="6" t="s">
        <v>164</v>
      </c>
      <c r="C196" s="6" t="s">
        <v>864</v>
      </c>
    </row>
    <row r="197" spans="1:3" x14ac:dyDescent="0.25">
      <c r="A197" s="6">
        <v>196</v>
      </c>
      <c r="B197" s="6" t="s">
        <v>475</v>
      </c>
      <c r="C197" s="6" t="s">
        <v>1175</v>
      </c>
    </row>
    <row r="198" spans="1:3" x14ac:dyDescent="0.25">
      <c r="A198" s="6">
        <v>197</v>
      </c>
      <c r="B198" s="6" t="s">
        <v>12</v>
      </c>
      <c r="C198" s="6" t="s">
        <v>712</v>
      </c>
    </row>
    <row r="199" spans="1:3" x14ac:dyDescent="0.25">
      <c r="A199" s="6">
        <v>198</v>
      </c>
      <c r="B199" s="6" t="s">
        <v>487</v>
      </c>
      <c r="C199" s="6" t="s">
        <v>1187</v>
      </c>
    </row>
    <row r="200" spans="1:3" x14ac:dyDescent="0.25">
      <c r="A200" s="6">
        <v>199</v>
      </c>
      <c r="B200" s="6" t="s">
        <v>550</v>
      </c>
      <c r="C200" s="6" t="s">
        <v>1250</v>
      </c>
    </row>
    <row r="201" spans="1:3" x14ac:dyDescent="0.25">
      <c r="A201" s="6">
        <v>200</v>
      </c>
      <c r="B201" s="6" t="s">
        <v>571</v>
      </c>
      <c r="C201" s="6" t="s">
        <v>1271</v>
      </c>
    </row>
    <row r="202" spans="1:3" x14ac:dyDescent="0.25">
      <c r="A202" s="6">
        <v>201</v>
      </c>
      <c r="B202" s="6" t="s">
        <v>611</v>
      </c>
      <c r="C202" s="6" t="s">
        <v>1311</v>
      </c>
    </row>
    <row r="203" spans="1:3" x14ac:dyDescent="0.25">
      <c r="A203" s="6">
        <v>202</v>
      </c>
      <c r="B203" s="6" t="s">
        <v>648</v>
      </c>
      <c r="C203" s="6" t="s">
        <v>1348</v>
      </c>
    </row>
    <row r="204" spans="1:3" x14ac:dyDescent="0.25">
      <c r="A204" s="6">
        <v>203</v>
      </c>
      <c r="B204" s="6" t="s">
        <v>192</v>
      </c>
      <c r="C204" s="6" t="s">
        <v>892</v>
      </c>
    </row>
    <row r="205" spans="1:3" x14ac:dyDescent="0.25">
      <c r="A205" s="6">
        <v>204</v>
      </c>
      <c r="B205" s="6" t="s">
        <v>362</v>
      </c>
      <c r="C205" s="6" t="s">
        <v>1062</v>
      </c>
    </row>
    <row r="206" spans="1:3" x14ac:dyDescent="0.25">
      <c r="A206" s="6">
        <v>205</v>
      </c>
      <c r="B206" s="6" t="s">
        <v>651</v>
      </c>
      <c r="C206" s="6" t="s">
        <v>1351</v>
      </c>
    </row>
    <row r="207" spans="1:3" x14ac:dyDescent="0.25">
      <c r="A207" s="6">
        <v>206</v>
      </c>
      <c r="B207" s="6" t="s">
        <v>673</v>
      </c>
      <c r="C207" s="6" t="s">
        <v>1373</v>
      </c>
    </row>
    <row r="208" spans="1:3" x14ac:dyDescent="0.25">
      <c r="A208" s="6">
        <v>207</v>
      </c>
      <c r="B208" s="6" t="s">
        <v>225</v>
      </c>
      <c r="C208" s="6" t="s">
        <v>925</v>
      </c>
    </row>
    <row r="209" spans="1:3" x14ac:dyDescent="0.25">
      <c r="A209" s="6">
        <v>208</v>
      </c>
      <c r="B209" s="6" t="s">
        <v>439</v>
      </c>
      <c r="C209" s="6" t="s">
        <v>1139</v>
      </c>
    </row>
    <row r="210" spans="1:3" x14ac:dyDescent="0.25">
      <c r="A210" s="6">
        <v>209</v>
      </c>
      <c r="B210" s="6" t="s">
        <v>390</v>
      </c>
      <c r="C210" s="6" t="s">
        <v>1090</v>
      </c>
    </row>
    <row r="211" spans="1:3" x14ac:dyDescent="0.25">
      <c r="A211" s="6">
        <v>210</v>
      </c>
      <c r="B211" s="6" t="s">
        <v>385</v>
      </c>
      <c r="C211" s="6" t="s">
        <v>1085</v>
      </c>
    </row>
    <row r="212" spans="1:3" x14ac:dyDescent="0.25">
      <c r="A212" s="6">
        <v>211</v>
      </c>
      <c r="B212" s="6" t="s">
        <v>284</v>
      </c>
      <c r="C212" s="6" t="s">
        <v>984</v>
      </c>
    </row>
    <row r="213" spans="1:3" x14ac:dyDescent="0.25">
      <c r="A213" s="6">
        <v>212</v>
      </c>
      <c r="B213" s="6" t="s">
        <v>642</v>
      </c>
      <c r="C213" s="6" t="s">
        <v>1342</v>
      </c>
    </row>
    <row r="214" spans="1:3" x14ac:dyDescent="0.25">
      <c r="A214" s="6">
        <v>213</v>
      </c>
      <c r="B214" s="6" t="s">
        <v>54</v>
      </c>
      <c r="C214" s="6" t="s">
        <v>754</v>
      </c>
    </row>
    <row r="215" spans="1:3" x14ac:dyDescent="0.25">
      <c r="A215" s="6">
        <v>214</v>
      </c>
      <c r="B215" s="6" t="s">
        <v>53</v>
      </c>
      <c r="C215" s="6" t="s">
        <v>753</v>
      </c>
    </row>
    <row r="216" spans="1:3" x14ac:dyDescent="0.25">
      <c r="A216" s="6">
        <v>215</v>
      </c>
      <c r="B216" s="6" t="s">
        <v>235</v>
      </c>
      <c r="C216" s="6" t="s">
        <v>935</v>
      </c>
    </row>
    <row r="217" spans="1:3" x14ac:dyDescent="0.25">
      <c r="A217" s="6">
        <v>216</v>
      </c>
      <c r="B217" s="6" t="s">
        <v>215</v>
      </c>
      <c r="C217" s="6" t="s">
        <v>915</v>
      </c>
    </row>
    <row r="218" spans="1:3" x14ac:dyDescent="0.25">
      <c r="A218" s="6">
        <v>217</v>
      </c>
      <c r="B218" s="6" t="s">
        <v>143</v>
      </c>
      <c r="C218" s="6" t="s">
        <v>843</v>
      </c>
    </row>
    <row r="219" spans="1:3" x14ac:dyDescent="0.25">
      <c r="A219" s="6">
        <v>218</v>
      </c>
      <c r="B219" s="6" t="s">
        <v>382</v>
      </c>
      <c r="C219" s="6" t="s">
        <v>1082</v>
      </c>
    </row>
    <row r="220" spans="1:3" x14ac:dyDescent="0.25">
      <c r="A220" s="6">
        <v>219</v>
      </c>
      <c r="B220" s="6" t="s">
        <v>187</v>
      </c>
      <c r="C220" s="6" t="s">
        <v>887</v>
      </c>
    </row>
    <row r="221" spans="1:3" x14ac:dyDescent="0.25">
      <c r="A221" s="6">
        <v>220</v>
      </c>
      <c r="B221" s="6" t="s">
        <v>462</v>
      </c>
      <c r="C221" s="6" t="s">
        <v>1162</v>
      </c>
    </row>
    <row r="222" spans="1:3" x14ac:dyDescent="0.25">
      <c r="A222" s="6">
        <v>221</v>
      </c>
      <c r="B222" s="6" t="s">
        <v>459</v>
      </c>
      <c r="C222" s="6" t="s">
        <v>1159</v>
      </c>
    </row>
    <row r="223" spans="1:3" x14ac:dyDescent="0.25">
      <c r="A223" s="6">
        <v>222</v>
      </c>
      <c r="B223" s="6" t="s">
        <v>49</v>
      </c>
      <c r="C223" s="6" t="s">
        <v>749</v>
      </c>
    </row>
    <row r="224" spans="1:3" x14ac:dyDescent="0.25">
      <c r="A224" s="6">
        <v>223</v>
      </c>
      <c r="B224" s="6" t="s">
        <v>639</v>
      </c>
      <c r="C224" s="6" t="s">
        <v>1339</v>
      </c>
    </row>
    <row r="225" spans="1:3" x14ac:dyDescent="0.25">
      <c r="A225" s="6">
        <v>224</v>
      </c>
      <c r="B225" s="6" t="s">
        <v>400</v>
      </c>
      <c r="C225" s="6" t="s">
        <v>1100</v>
      </c>
    </row>
    <row r="226" spans="1:3" x14ac:dyDescent="0.25">
      <c r="A226" s="6">
        <v>225</v>
      </c>
      <c r="B226" s="6" t="s">
        <v>50</v>
      </c>
      <c r="C226" s="6" t="s">
        <v>750</v>
      </c>
    </row>
    <row r="227" spans="1:3" x14ac:dyDescent="0.25">
      <c r="A227" s="6">
        <v>226</v>
      </c>
      <c r="B227" s="6" t="s">
        <v>531</v>
      </c>
      <c r="C227" s="6" t="s">
        <v>1231</v>
      </c>
    </row>
    <row r="228" spans="1:3" x14ac:dyDescent="0.25">
      <c r="A228" s="6">
        <v>227</v>
      </c>
      <c r="B228" s="6" t="s">
        <v>52</v>
      </c>
      <c r="C228" s="6" t="s">
        <v>752</v>
      </c>
    </row>
    <row r="229" spans="1:3" x14ac:dyDescent="0.25">
      <c r="A229" s="6">
        <v>228</v>
      </c>
      <c r="B229" s="6" t="s">
        <v>410</v>
      </c>
      <c r="C229" s="6" t="s">
        <v>1110</v>
      </c>
    </row>
    <row r="230" spans="1:3" x14ac:dyDescent="0.25">
      <c r="A230" s="6">
        <v>229</v>
      </c>
      <c r="B230" s="6" t="s">
        <v>223</v>
      </c>
      <c r="C230" s="6" t="s">
        <v>923</v>
      </c>
    </row>
    <row r="231" spans="1:3" x14ac:dyDescent="0.25">
      <c r="A231" s="6">
        <v>230</v>
      </c>
      <c r="B231" s="6" t="s">
        <v>91</v>
      </c>
      <c r="C231" s="6" t="s">
        <v>791</v>
      </c>
    </row>
    <row r="232" spans="1:3" x14ac:dyDescent="0.25">
      <c r="A232" s="6">
        <v>231</v>
      </c>
      <c r="B232" s="6" t="s">
        <v>140</v>
      </c>
      <c r="C232" s="6" t="s">
        <v>840</v>
      </c>
    </row>
    <row r="233" spans="1:3" x14ac:dyDescent="0.25">
      <c r="A233" s="6">
        <v>232</v>
      </c>
      <c r="B233" s="6" t="s">
        <v>167</v>
      </c>
      <c r="C233" s="6" t="s">
        <v>867</v>
      </c>
    </row>
    <row r="234" spans="1:3" x14ac:dyDescent="0.25">
      <c r="A234" s="6">
        <v>233</v>
      </c>
      <c r="B234" s="6" t="s">
        <v>325</v>
      </c>
      <c r="C234" s="6" t="s">
        <v>1025</v>
      </c>
    </row>
    <row r="235" spans="1:3" x14ac:dyDescent="0.25">
      <c r="A235" s="6">
        <v>234</v>
      </c>
      <c r="B235" s="6" t="s">
        <v>199</v>
      </c>
      <c r="C235" s="6" t="s">
        <v>899</v>
      </c>
    </row>
    <row r="236" spans="1:3" x14ac:dyDescent="0.25">
      <c r="A236" s="6">
        <v>235</v>
      </c>
      <c r="B236" s="6" t="s">
        <v>327</v>
      </c>
      <c r="C236" s="6" t="s">
        <v>1027</v>
      </c>
    </row>
    <row r="237" spans="1:3" x14ac:dyDescent="0.25">
      <c r="A237" s="6">
        <v>236</v>
      </c>
      <c r="B237" s="6" t="s">
        <v>309</v>
      </c>
      <c r="C237" s="6" t="s">
        <v>1009</v>
      </c>
    </row>
    <row r="238" spans="1:3" x14ac:dyDescent="0.25">
      <c r="A238" s="6">
        <v>237</v>
      </c>
      <c r="B238" s="6" t="s">
        <v>693</v>
      </c>
      <c r="C238" s="6" t="s">
        <v>1393</v>
      </c>
    </row>
    <row r="239" spans="1:3" x14ac:dyDescent="0.25">
      <c r="A239" s="6">
        <v>238</v>
      </c>
      <c r="B239" s="6" t="s">
        <v>586</v>
      </c>
      <c r="C239" s="6" t="s">
        <v>1286</v>
      </c>
    </row>
    <row r="240" spans="1:3" x14ac:dyDescent="0.25">
      <c r="A240" s="6">
        <v>239</v>
      </c>
      <c r="B240" s="6" t="s">
        <v>257</v>
      </c>
      <c r="C240" s="6" t="s">
        <v>957</v>
      </c>
    </row>
    <row r="241" spans="1:3" x14ac:dyDescent="0.25">
      <c r="A241" s="6">
        <v>240</v>
      </c>
      <c r="B241" s="6" t="s">
        <v>369</v>
      </c>
      <c r="C241" s="6" t="s">
        <v>1069</v>
      </c>
    </row>
    <row r="242" spans="1:3" x14ac:dyDescent="0.25">
      <c r="A242" s="6">
        <v>241</v>
      </c>
      <c r="B242" s="6" t="s">
        <v>144</v>
      </c>
      <c r="C242" s="6" t="s">
        <v>844</v>
      </c>
    </row>
    <row r="243" spans="1:3" x14ac:dyDescent="0.25">
      <c r="A243" s="6">
        <v>242</v>
      </c>
      <c r="B243" s="6" t="s">
        <v>538</v>
      </c>
      <c r="C243" s="6" t="s">
        <v>1238</v>
      </c>
    </row>
    <row r="244" spans="1:3" x14ac:dyDescent="0.25">
      <c r="A244" s="6">
        <v>243</v>
      </c>
      <c r="B244" s="6" t="s">
        <v>148</v>
      </c>
      <c r="C244" s="6" t="s">
        <v>848</v>
      </c>
    </row>
    <row r="245" spans="1:3" x14ac:dyDescent="0.25">
      <c r="A245" s="6">
        <v>244</v>
      </c>
      <c r="B245" s="6" t="s">
        <v>451</v>
      </c>
      <c r="C245" s="6" t="s">
        <v>1151</v>
      </c>
    </row>
    <row r="246" spans="1:3" x14ac:dyDescent="0.25">
      <c r="A246" s="6">
        <v>245</v>
      </c>
      <c r="B246" s="6" t="s">
        <v>575</v>
      </c>
      <c r="C246" s="6" t="s">
        <v>1275</v>
      </c>
    </row>
    <row r="247" spans="1:3" x14ac:dyDescent="0.25">
      <c r="A247" s="6">
        <v>246</v>
      </c>
      <c r="B247" s="6" t="s">
        <v>653</v>
      </c>
      <c r="C247" s="6" t="s">
        <v>1353</v>
      </c>
    </row>
    <row r="248" spans="1:3" x14ac:dyDescent="0.25">
      <c r="A248" s="6">
        <v>247</v>
      </c>
      <c r="B248" s="6" t="s">
        <v>534</v>
      </c>
      <c r="C248" s="6" t="s">
        <v>1234</v>
      </c>
    </row>
    <row r="249" spans="1:3" x14ac:dyDescent="0.25">
      <c r="A249" s="6">
        <v>248</v>
      </c>
      <c r="B249" s="6" t="s">
        <v>351</v>
      </c>
      <c r="C249" s="6" t="s">
        <v>1051</v>
      </c>
    </row>
    <row r="250" spans="1:3" x14ac:dyDescent="0.25">
      <c r="A250" s="6">
        <v>249</v>
      </c>
      <c r="B250" s="6" t="s">
        <v>259</v>
      </c>
      <c r="C250" s="6" t="s">
        <v>959</v>
      </c>
    </row>
    <row r="251" spans="1:3" x14ac:dyDescent="0.25">
      <c r="A251" s="6">
        <v>250</v>
      </c>
      <c r="B251" s="6" t="s">
        <v>217</v>
      </c>
      <c r="C251" s="6" t="s">
        <v>917</v>
      </c>
    </row>
    <row r="252" spans="1:3" x14ac:dyDescent="0.25">
      <c r="A252" s="6">
        <v>251</v>
      </c>
      <c r="B252" s="6" t="s">
        <v>380</v>
      </c>
      <c r="C252" s="6" t="s">
        <v>1080</v>
      </c>
    </row>
    <row r="253" spans="1:3" x14ac:dyDescent="0.25">
      <c r="A253" s="6">
        <v>252</v>
      </c>
      <c r="B253" s="6" t="s">
        <v>669</v>
      </c>
      <c r="C253" s="6" t="s">
        <v>1369</v>
      </c>
    </row>
    <row r="254" spans="1:3" x14ac:dyDescent="0.25">
      <c r="A254" s="6">
        <v>253</v>
      </c>
      <c r="B254" s="6" t="s">
        <v>55</v>
      </c>
      <c r="C254" s="6" t="s">
        <v>755</v>
      </c>
    </row>
    <row r="255" spans="1:3" x14ac:dyDescent="0.25">
      <c r="A255" s="6">
        <v>254</v>
      </c>
      <c r="B255" s="6" t="s">
        <v>647</v>
      </c>
      <c r="C255" s="6" t="s">
        <v>1347</v>
      </c>
    </row>
    <row r="256" spans="1:3" x14ac:dyDescent="0.25">
      <c r="A256" s="6">
        <v>255</v>
      </c>
      <c r="B256" s="6" t="s">
        <v>598</v>
      </c>
      <c r="C256" s="6" t="s">
        <v>1298</v>
      </c>
    </row>
    <row r="257" spans="1:3" x14ac:dyDescent="0.25">
      <c r="A257" s="6">
        <v>256</v>
      </c>
      <c r="B257" s="6" t="s">
        <v>226</v>
      </c>
      <c r="C257" s="6" t="s">
        <v>926</v>
      </c>
    </row>
    <row r="258" spans="1:3" x14ac:dyDescent="0.25">
      <c r="A258" s="6">
        <v>257</v>
      </c>
      <c r="B258" s="6" t="s">
        <v>87</v>
      </c>
      <c r="C258" s="6" t="s">
        <v>787</v>
      </c>
    </row>
    <row r="259" spans="1:3" x14ac:dyDescent="0.25">
      <c r="A259" s="6">
        <v>258</v>
      </c>
      <c r="B259" s="6" t="s">
        <v>266</v>
      </c>
      <c r="C259" s="6" t="s">
        <v>966</v>
      </c>
    </row>
    <row r="260" spans="1:3" x14ac:dyDescent="0.25">
      <c r="A260" s="6">
        <v>259</v>
      </c>
      <c r="B260" s="6" t="s">
        <v>56</v>
      </c>
      <c r="C260" s="6" t="s">
        <v>756</v>
      </c>
    </row>
    <row r="261" spans="1:3" x14ac:dyDescent="0.25">
      <c r="A261" s="6">
        <v>260</v>
      </c>
      <c r="B261" s="6" t="s">
        <v>316</v>
      </c>
      <c r="C261" s="6" t="s">
        <v>1016</v>
      </c>
    </row>
    <row r="262" spans="1:3" x14ac:dyDescent="0.25">
      <c r="A262" s="6">
        <v>261</v>
      </c>
      <c r="B262" s="6" t="s">
        <v>57</v>
      </c>
      <c r="C262" s="6" t="s">
        <v>757</v>
      </c>
    </row>
    <row r="263" spans="1:3" x14ac:dyDescent="0.25">
      <c r="A263" s="6">
        <v>262</v>
      </c>
      <c r="B263" s="6" t="s">
        <v>318</v>
      </c>
      <c r="C263" s="6" t="s">
        <v>1018</v>
      </c>
    </row>
    <row r="264" spans="1:3" x14ac:dyDescent="0.25">
      <c r="A264" s="6">
        <v>263</v>
      </c>
      <c r="B264" s="6" t="s">
        <v>227</v>
      </c>
      <c r="C264" s="6" t="s">
        <v>927</v>
      </c>
    </row>
    <row r="265" spans="1:3" x14ac:dyDescent="0.25">
      <c r="A265" s="6">
        <v>264</v>
      </c>
      <c r="B265" s="6" t="s">
        <v>58</v>
      </c>
      <c r="C265" s="6" t="s">
        <v>758</v>
      </c>
    </row>
    <row r="266" spans="1:3" x14ac:dyDescent="0.25">
      <c r="A266" s="6">
        <v>265</v>
      </c>
      <c r="B266" s="6" t="s">
        <v>250</v>
      </c>
      <c r="C266" s="6" t="s">
        <v>950</v>
      </c>
    </row>
    <row r="267" spans="1:3" x14ac:dyDescent="0.25">
      <c r="A267" s="6">
        <v>266</v>
      </c>
      <c r="B267" s="6" t="s">
        <v>120</v>
      </c>
      <c r="C267" s="6" t="s">
        <v>820</v>
      </c>
    </row>
    <row r="268" spans="1:3" x14ac:dyDescent="0.25">
      <c r="A268" s="6">
        <v>267</v>
      </c>
      <c r="B268" s="6" t="s">
        <v>491</v>
      </c>
      <c r="C268" s="6" t="s">
        <v>1191</v>
      </c>
    </row>
    <row r="269" spans="1:3" x14ac:dyDescent="0.25">
      <c r="A269" s="6">
        <v>268</v>
      </c>
      <c r="B269" s="6" t="s">
        <v>656</v>
      </c>
      <c r="C269" s="6" t="s">
        <v>1356</v>
      </c>
    </row>
    <row r="270" spans="1:3" x14ac:dyDescent="0.25">
      <c r="A270" s="6">
        <v>269</v>
      </c>
      <c r="B270" s="6" t="s">
        <v>59</v>
      </c>
      <c r="C270" s="6" t="s">
        <v>759</v>
      </c>
    </row>
    <row r="271" spans="1:3" x14ac:dyDescent="0.25">
      <c r="A271" s="6">
        <v>270</v>
      </c>
      <c r="B271" s="6" t="s">
        <v>247</v>
      </c>
      <c r="C271" s="6" t="s">
        <v>947</v>
      </c>
    </row>
    <row r="272" spans="1:3" x14ac:dyDescent="0.25">
      <c r="A272" s="6">
        <v>271</v>
      </c>
      <c r="B272" s="6" t="s">
        <v>60</v>
      </c>
      <c r="C272" s="6" t="s">
        <v>760</v>
      </c>
    </row>
    <row r="273" spans="1:3" x14ac:dyDescent="0.25">
      <c r="A273" s="6">
        <v>272</v>
      </c>
      <c r="B273" s="6" t="s">
        <v>32</v>
      </c>
      <c r="C273" s="6" t="s">
        <v>732</v>
      </c>
    </row>
    <row r="274" spans="1:3" x14ac:dyDescent="0.25">
      <c r="A274" s="6">
        <v>273</v>
      </c>
      <c r="B274" s="6" t="s">
        <v>149</v>
      </c>
      <c r="C274" s="6" t="s">
        <v>849</v>
      </c>
    </row>
    <row r="275" spans="1:3" x14ac:dyDescent="0.25">
      <c r="A275" s="6">
        <v>274</v>
      </c>
      <c r="B275" s="6" t="s">
        <v>61</v>
      </c>
      <c r="C275" s="6" t="s">
        <v>761</v>
      </c>
    </row>
    <row r="276" spans="1:3" x14ac:dyDescent="0.25">
      <c r="A276" s="6">
        <v>275</v>
      </c>
      <c r="B276" s="6" t="s">
        <v>278</v>
      </c>
      <c r="C276" s="6" t="s">
        <v>978</v>
      </c>
    </row>
    <row r="277" spans="1:3" x14ac:dyDescent="0.25">
      <c r="A277" s="6">
        <v>276</v>
      </c>
      <c r="B277" s="6" t="s">
        <v>256</v>
      </c>
      <c r="C277" s="6" t="s">
        <v>956</v>
      </c>
    </row>
    <row r="278" spans="1:3" x14ac:dyDescent="0.25">
      <c r="A278" s="6">
        <v>277</v>
      </c>
      <c r="B278" s="6" t="s">
        <v>624</v>
      </c>
      <c r="C278" s="6" t="s">
        <v>1324</v>
      </c>
    </row>
    <row r="279" spans="1:3" x14ac:dyDescent="0.25">
      <c r="A279" s="6">
        <v>278</v>
      </c>
      <c r="B279" s="6" t="s">
        <v>7</v>
      </c>
      <c r="C279" s="6" t="s">
        <v>707</v>
      </c>
    </row>
    <row r="280" spans="1:3" x14ac:dyDescent="0.25">
      <c r="A280" s="6">
        <v>279</v>
      </c>
      <c r="B280" s="6" t="s">
        <v>228</v>
      </c>
      <c r="C280" s="6" t="s">
        <v>928</v>
      </c>
    </row>
    <row r="281" spans="1:3" x14ac:dyDescent="0.25">
      <c r="A281" s="6">
        <v>280</v>
      </c>
      <c r="B281" s="6" t="s">
        <v>366</v>
      </c>
      <c r="C281" s="6" t="s">
        <v>1066</v>
      </c>
    </row>
    <row r="282" spans="1:3" x14ac:dyDescent="0.25">
      <c r="A282" s="6">
        <v>281</v>
      </c>
      <c r="B282" s="6" t="s">
        <v>636</v>
      </c>
      <c r="C282" s="6" t="s">
        <v>1336</v>
      </c>
    </row>
    <row r="283" spans="1:3" x14ac:dyDescent="0.25">
      <c r="A283" s="6">
        <v>282</v>
      </c>
      <c r="B283" s="6" t="s">
        <v>614</v>
      </c>
      <c r="C283" s="6" t="s">
        <v>1314</v>
      </c>
    </row>
    <row r="284" spans="1:3" x14ac:dyDescent="0.25">
      <c r="A284" s="6">
        <v>283</v>
      </c>
      <c r="B284" s="6" t="s">
        <v>657</v>
      </c>
      <c r="C284" s="6" t="s">
        <v>1357</v>
      </c>
    </row>
    <row r="285" spans="1:3" x14ac:dyDescent="0.25">
      <c r="A285" s="6">
        <v>284</v>
      </c>
      <c r="B285" s="6" t="s">
        <v>485</v>
      </c>
      <c r="C285" s="6" t="s">
        <v>1185</v>
      </c>
    </row>
    <row r="286" spans="1:3" x14ac:dyDescent="0.25">
      <c r="A286" s="6">
        <v>285</v>
      </c>
      <c r="B286" s="6" t="s">
        <v>39</v>
      </c>
      <c r="C286" s="6" t="s">
        <v>739</v>
      </c>
    </row>
    <row r="287" spans="1:3" x14ac:dyDescent="0.25">
      <c r="A287" s="6">
        <v>286</v>
      </c>
      <c r="B287" s="6" t="s">
        <v>588</v>
      </c>
      <c r="C287" s="6" t="s">
        <v>1288</v>
      </c>
    </row>
    <row r="288" spans="1:3" x14ac:dyDescent="0.25">
      <c r="A288" s="6">
        <v>287</v>
      </c>
      <c r="B288" s="6" t="s">
        <v>446</v>
      </c>
      <c r="C288" s="6" t="s">
        <v>1146</v>
      </c>
    </row>
    <row r="289" spans="1:3" x14ac:dyDescent="0.25">
      <c r="A289" s="6">
        <v>288</v>
      </c>
      <c r="B289" s="6" t="s">
        <v>193</v>
      </c>
      <c r="C289" s="6" t="s">
        <v>893</v>
      </c>
    </row>
    <row r="290" spans="1:3" x14ac:dyDescent="0.25">
      <c r="A290" s="6">
        <v>289</v>
      </c>
      <c r="B290" s="6" t="s">
        <v>33</v>
      </c>
      <c r="C290" s="6" t="s">
        <v>733</v>
      </c>
    </row>
    <row r="291" spans="1:3" x14ac:dyDescent="0.25">
      <c r="A291" s="6">
        <v>290</v>
      </c>
      <c r="B291" s="6" t="s">
        <v>260</v>
      </c>
      <c r="C291" s="6" t="s">
        <v>960</v>
      </c>
    </row>
    <row r="292" spans="1:3" x14ac:dyDescent="0.25">
      <c r="A292" s="6">
        <v>291</v>
      </c>
      <c r="B292" s="6" t="s">
        <v>440</v>
      </c>
      <c r="C292" s="6" t="s">
        <v>1140</v>
      </c>
    </row>
    <row r="293" spans="1:3" x14ac:dyDescent="0.25">
      <c r="A293" s="6">
        <v>292</v>
      </c>
      <c r="B293" s="6" t="s">
        <v>692</v>
      </c>
      <c r="C293" s="6" t="s">
        <v>1392</v>
      </c>
    </row>
    <row r="294" spans="1:3" x14ac:dyDescent="0.25">
      <c r="A294" s="6">
        <v>293</v>
      </c>
      <c r="B294" s="6" t="s">
        <v>691</v>
      </c>
      <c r="C294" s="6" t="s">
        <v>1391</v>
      </c>
    </row>
    <row r="295" spans="1:3" x14ac:dyDescent="0.25">
      <c r="A295" s="6">
        <v>294</v>
      </c>
      <c r="B295" s="6" t="s">
        <v>328</v>
      </c>
      <c r="C295" s="6" t="s">
        <v>1028</v>
      </c>
    </row>
    <row r="296" spans="1:3" x14ac:dyDescent="0.25">
      <c r="A296" s="6">
        <v>295</v>
      </c>
      <c r="B296" s="6" t="s">
        <v>62</v>
      </c>
      <c r="C296" s="6" t="s">
        <v>762</v>
      </c>
    </row>
    <row r="297" spans="1:3" x14ac:dyDescent="0.25">
      <c r="A297" s="6">
        <v>296</v>
      </c>
      <c r="B297" s="6" t="s">
        <v>371</v>
      </c>
      <c r="C297" s="6" t="s">
        <v>1071</v>
      </c>
    </row>
    <row r="298" spans="1:3" x14ac:dyDescent="0.25">
      <c r="A298" s="6">
        <v>297</v>
      </c>
      <c r="B298" s="6" t="s">
        <v>570</v>
      </c>
      <c r="C298" s="6" t="s">
        <v>1270</v>
      </c>
    </row>
    <row r="299" spans="1:3" x14ac:dyDescent="0.25">
      <c r="A299" s="6">
        <v>298</v>
      </c>
      <c r="B299" s="6" t="s">
        <v>483</v>
      </c>
      <c r="C299" s="6" t="s">
        <v>1183</v>
      </c>
    </row>
    <row r="300" spans="1:3" x14ac:dyDescent="0.25">
      <c r="A300" s="6">
        <v>299</v>
      </c>
      <c r="B300" s="6" t="s">
        <v>687</v>
      </c>
      <c r="C300" s="6" t="s">
        <v>1387</v>
      </c>
    </row>
    <row r="301" spans="1:3" x14ac:dyDescent="0.25">
      <c r="A301" s="6">
        <v>300</v>
      </c>
      <c r="B301" s="6" t="s">
        <v>478</v>
      </c>
      <c r="C301" s="6" t="s">
        <v>1178</v>
      </c>
    </row>
    <row r="302" spans="1:3" x14ac:dyDescent="0.25">
      <c r="A302" s="6">
        <v>301</v>
      </c>
      <c r="B302" s="6" t="s">
        <v>641</v>
      </c>
      <c r="C302" s="6" t="s">
        <v>1341</v>
      </c>
    </row>
    <row r="303" spans="1:3" x14ac:dyDescent="0.25">
      <c r="A303" s="6">
        <v>302</v>
      </c>
      <c r="B303" s="6" t="s">
        <v>159</v>
      </c>
      <c r="C303" s="6" t="s">
        <v>859</v>
      </c>
    </row>
    <row r="304" spans="1:3" x14ac:dyDescent="0.25">
      <c r="A304" s="6">
        <v>303</v>
      </c>
      <c r="B304" s="6" t="s">
        <v>181</v>
      </c>
      <c r="C304" s="6" t="s">
        <v>881</v>
      </c>
    </row>
    <row r="305" spans="1:3" x14ac:dyDescent="0.25">
      <c r="A305" s="6">
        <v>304</v>
      </c>
      <c r="B305" s="6" t="s">
        <v>337</v>
      </c>
      <c r="C305" s="6" t="s">
        <v>1037</v>
      </c>
    </row>
    <row r="306" spans="1:3" x14ac:dyDescent="0.25">
      <c r="A306" s="6">
        <v>305</v>
      </c>
      <c r="B306" s="6" t="s">
        <v>397</v>
      </c>
      <c r="C306" s="6" t="s">
        <v>1097</v>
      </c>
    </row>
    <row r="307" spans="1:3" x14ac:dyDescent="0.25">
      <c r="A307" s="6">
        <v>306</v>
      </c>
      <c r="B307" s="6" t="s">
        <v>694</v>
      </c>
      <c r="C307" s="6" t="s">
        <v>1394</v>
      </c>
    </row>
    <row r="308" spans="1:3" x14ac:dyDescent="0.25">
      <c r="A308" s="6">
        <v>307</v>
      </c>
      <c r="B308" s="6" t="s">
        <v>275</v>
      </c>
      <c r="C308" s="6" t="s">
        <v>975</v>
      </c>
    </row>
    <row r="309" spans="1:3" x14ac:dyDescent="0.25">
      <c r="A309" s="6">
        <v>308</v>
      </c>
      <c r="B309" s="6" t="s">
        <v>438</v>
      </c>
      <c r="C309" s="6" t="s">
        <v>1138</v>
      </c>
    </row>
    <row r="310" spans="1:3" x14ac:dyDescent="0.25">
      <c r="A310" s="6">
        <v>309</v>
      </c>
      <c r="B310" s="6" t="s">
        <v>661</v>
      </c>
      <c r="C310" s="6" t="s">
        <v>1361</v>
      </c>
    </row>
    <row r="311" spans="1:3" x14ac:dyDescent="0.25">
      <c r="A311" s="6">
        <v>310</v>
      </c>
      <c r="B311" s="6" t="s">
        <v>421</v>
      </c>
      <c r="C311" s="6" t="s">
        <v>1121</v>
      </c>
    </row>
    <row r="312" spans="1:3" x14ac:dyDescent="0.25">
      <c r="A312" s="6">
        <v>311</v>
      </c>
      <c r="B312" s="6" t="s">
        <v>564</v>
      </c>
      <c r="C312" s="6" t="s">
        <v>1264</v>
      </c>
    </row>
    <row r="313" spans="1:3" x14ac:dyDescent="0.25">
      <c r="A313" s="6">
        <v>312</v>
      </c>
      <c r="B313" s="6" t="s">
        <v>370</v>
      </c>
      <c r="C313" s="6" t="s">
        <v>1070</v>
      </c>
    </row>
    <row r="314" spans="1:3" x14ac:dyDescent="0.25">
      <c r="A314" s="6">
        <v>313</v>
      </c>
      <c r="B314" s="6" t="s">
        <v>599</v>
      </c>
      <c r="C314" s="6" t="s">
        <v>1299</v>
      </c>
    </row>
    <row r="315" spans="1:3" x14ac:dyDescent="0.25">
      <c r="A315" s="6">
        <v>314</v>
      </c>
      <c r="B315" s="6" t="s">
        <v>468</v>
      </c>
      <c r="C315" s="6" t="s">
        <v>1168</v>
      </c>
    </row>
    <row r="316" spans="1:3" x14ac:dyDescent="0.25">
      <c r="A316" s="6">
        <v>315</v>
      </c>
      <c r="B316" s="6" t="s">
        <v>63</v>
      </c>
      <c r="C316" s="6" t="s">
        <v>763</v>
      </c>
    </row>
    <row r="317" spans="1:3" x14ac:dyDescent="0.25">
      <c r="A317" s="6">
        <v>316</v>
      </c>
      <c r="B317" s="6" t="s">
        <v>64</v>
      </c>
      <c r="C317" s="6" t="s">
        <v>764</v>
      </c>
    </row>
    <row r="318" spans="1:3" x14ac:dyDescent="0.25">
      <c r="A318" s="6">
        <v>317</v>
      </c>
      <c r="B318" s="6" t="s">
        <v>453</v>
      </c>
      <c r="C318" s="6" t="s">
        <v>1153</v>
      </c>
    </row>
    <row r="319" spans="1:3" x14ac:dyDescent="0.25">
      <c r="A319" s="6">
        <v>318</v>
      </c>
      <c r="B319" s="6" t="s">
        <v>489</v>
      </c>
      <c r="C319" s="6" t="s">
        <v>1189</v>
      </c>
    </row>
    <row r="320" spans="1:3" x14ac:dyDescent="0.25">
      <c r="A320" s="6">
        <v>319</v>
      </c>
      <c r="B320" s="6" t="s">
        <v>578</v>
      </c>
      <c r="C320" s="6" t="s">
        <v>1278</v>
      </c>
    </row>
    <row r="321" spans="1:3" x14ac:dyDescent="0.25">
      <c r="A321" s="6">
        <v>320</v>
      </c>
      <c r="B321" s="6" t="s">
        <v>589</v>
      </c>
      <c r="C321" s="6" t="s">
        <v>1289</v>
      </c>
    </row>
    <row r="322" spans="1:3" x14ac:dyDescent="0.25">
      <c r="A322" s="6">
        <v>321</v>
      </c>
      <c r="B322" s="6" t="s">
        <v>306</v>
      </c>
      <c r="C322" s="6" t="s">
        <v>1006</v>
      </c>
    </row>
    <row r="323" spans="1:3" x14ac:dyDescent="0.25">
      <c r="A323" s="6">
        <v>322</v>
      </c>
      <c r="B323" s="6" t="s">
        <v>65</v>
      </c>
      <c r="C323" s="6" t="s">
        <v>765</v>
      </c>
    </row>
    <row r="324" spans="1:3" x14ac:dyDescent="0.25">
      <c r="A324" s="6">
        <v>323</v>
      </c>
      <c r="B324" s="6" t="s">
        <v>314</v>
      </c>
      <c r="C324" s="6" t="s">
        <v>1014</v>
      </c>
    </row>
    <row r="325" spans="1:3" x14ac:dyDescent="0.25">
      <c r="A325" s="6">
        <v>324</v>
      </c>
      <c r="B325" s="6" t="s">
        <v>514</v>
      </c>
      <c r="C325" s="6" t="s">
        <v>1214</v>
      </c>
    </row>
    <row r="326" spans="1:3" x14ac:dyDescent="0.25">
      <c r="A326" s="6">
        <v>325</v>
      </c>
      <c r="B326" s="6" t="s">
        <v>671</v>
      </c>
      <c r="C326" s="6" t="s">
        <v>1371</v>
      </c>
    </row>
    <row r="327" spans="1:3" x14ac:dyDescent="0.25">
      <c r="A327" s="6">
        <v>326</v>
      </c>
      <c r="B327" s="6" t="s">
        <v>522</v>
      </c>
      <c r="C327" s="6" t="s">
        <v>1222</v>
      </c>
    </row>
    <row r="328" spans="1:3" x14ac:dyDescent="0.25">
      <c r="A328" s="6">
        <v>327</v>
      </c>
      <c r="B328" s="6" t="s">
        <v>161</v>
      </c>
      <c r="C328" s="6" t="s">
        <v>861</v>
      </c>
    </row>
    <row r="329" spans="1:3" x14ac:dyDescent="0.25">
      <c r="A329" s="6">
        <v>328</v>
      </c>
      <c r="B329" s="6" t="s">
        <v>224</v>
      </c>
      <c r="C329" s="6" t="s">
        <v>924</v>
      </c>
    </row>
    <row r="330" spans="1:3" x14ac:dyDescent="0.25">
      <c r="A330" s="6">
        <v>329</v>
      </c>
      <c r="B330" s="6" t="s">
        <v>297</v>
      </c>
      <c r="C330" s="6" t="s">
        <v>997</v>
      </c>
    </row>
    <row r="331" spans="1:3" x14ac:dyDescent="0.25">
      <c r="A331" s="6">
        <v>330</v>
      </c>
      <c r="B331" s="6" t="s">
        <v>212</v>
      </c>
      <c r="C331" s="6" t="s">
        <v>912</v>
      </c>
    </row>
    <row r="332" spans="1:3" x14ac:dyDescent="0.25">
      <c r="A332" s="6">
        <v>331</v>
      </c>
      <c r="B332" s="6" t="s">
        <v>443</v>
      </c>
      <c r="C332" s="6" t="s">
        <v>1143</v>
      </c>
    </row>
    <row r="333" spans="1:3" x14ac:dyDescent="0.25">
      <c r="A333" s="6">
        <v>332</v>
      </c>
      <c r="B333" s="6" t="s">
        <v>512</v>
      </c>
      <c r="C333" s="6" t="s">
        <v>1212</v>
      </c>
    </row>
    <row r="334" spans="1:3" x14ac:dyDescent="0.25">
      <c r="A334" s="6">
        <v>333</v>
      </c>
      <c r="B334" s="6" t="s">
        <v>452</v>
      </c>
      <c r="C334" s="6" t="s">
        <v>1152</v>
      </c>
    </row>
    <row r="335" spans="1:3" x14ac:dyDescent="0.25">
      <c r="A335" s="6">
        <v>334</v>
      </c>
      <c r="B335" s="6" t="s">
        <v>238</v>
      </c>
      <c r="C335" s="6" t="s">
        <v>938</v>
      </c>
    </row>
    <row r="336" spans="1:3" x14ac:dyDescent="0.25">
      <c r="A336" s="6">
        <v>335</v>
      </c>
      <c r="B336" s="6" t="s">
        <v>67</v>
      </c>
      <c r="C336" s="6" t="s">
        <v>767</v>
      </c>
    </row>
    <row r="337" spans="1:3" x14ac:dyDescent="0.25">
      <c r="A337" s="6">
        <v>336</v>
      </c>
      <c r="B337" s="6" t="s">
        <v>429</v>
      </c>
      <c r="C337" s="6" t="s">
        <v>1129</v>
      </c>
    </row>
    <row r="338" spans="1:3" x14ac:dyDescent="0.25">
      <c r="A338" s="6">
        <v>337</v>
      </c>
      <c r="B338" s="6" t="s">
        <v>372</v>
      </c>
      <c r="C338" s="6" t="s">
        <v>1072</v>
      </c>
    </row>
    <row r="339" spans="1:3" x14ac:dyDescent="0.25">
      <c r="A339" s="6">
        <v>338</v>
      </c>
      <c r="B339" s="6" t="s">
        <v>270</v>
      </c>
      <c r="C339" s="6" t="s">
        <v>970</v>
      </c>
    </row>
    <row r="340" spans="1:3" x14ac:dyDescent="0.25">
      <c r="A340" s="6">
        <v>339</v>
      </c>
      <c r="B340" s="6" t="s">
        <v>68</v>
      </c>
      <c r="C340" s="6" t="s">
        <v>768</v>
      </c>
    </row>
    <row r="341" spans="1:3" x14ac:dyDescent="0.25">
      <c r="A341" s="6">
        <v>340</v>
      </c>
      <c r="B341" s="6" t="s">
        <v>104</v>
      </c>
      <c r="C341" s="6" t="s">
        <v>804</v>
      </c>
    </row>
    <row r="342" spans="1:3" x14ac:dyDescent="0.25">
      <c r="A342" s="6">
        <v>341</v>
      </c>
      <c r="B342" s="6" t="s">
        <v>595</v>
      </c>
      <c r="C342" s="6" t="s">
        <v>1295</v>
      </c>
    </row>
    <row r="343" spans="1:3" x14ac:dyDescent="0.25">
      <c r="A343" s="6">
        <v>342</v>
      </c>
      <c r="B343" s="6" t="s">
        <v>419</v>
      </c>
      <c r="C343" s="6" t="s">
        <v>1119</v>
      </c>
    </row>
    <row r="344" spans="1:3" x14ac:dyDescent="0.25">
      <c r="A344" s="6">
        <v>343</v>
      </c>
      <c r="B344" s="6" t="s">
        <v>381</v>
      </c>
      <c r="C344" s="6" t="s">
        <v>1081</v>
      </c>
    </row>
    <row r="345" spans="1:3" x14ac:dyDescent="0.25">
      <c r="A345" s="6">
        <v>344</v>
      </c>
      <c r="B345" s="6" t="s">
        <v>105</v>
      </c>
      <c r="C345" s="6" t="s">
        <v>805</v>
      </c>
    </row>
    <row r="346" spans="1:3" x14ac:dyDescent="0.25">
      <c r="A346" s="6">
        <v>345</v>
      </c>
      <c r="B346" s="6" t="s">
        <v>364</v>
      </c>
      <c r="C346" s="6" t="s">
        <v>1064</v>
      </c>
    </row>
    <row r="347" spans="1:3" x14ac:dyDescent="0.25">
      <c r="A347" s="6">
        <v>346</v>
      </c>
      <c r="B347" s="6" t="s">
        <v>329</v>
      </c>
      <c r="C347" s="6" t="s">
        <v>1029</v>
      </c>
    </row>
    <row r="348" spans="1:3" x14ac:dyDescent="0.25">
      <c r="A348" s="6">
        <v>347</v>
      </c>
      <c r="B348" s="6" t="s">
        <v>293</v>
      </c>
      <c r="C348" s="6" t="s">
        <v>993</v>
      </c>
    </row>
    <row r="349" spans="1:3" x14ac:dyDescent="0.25">
      <c r="A349" s="6">
        <v>348</v>
      </c>
      <c r="B349" s="6" t="s">
        <v>283</v>
      </c>
      <c r="C349" s="6" t="s">
        <v>983</v>
      </c>
    </row>
    <row r="350" spans="1:3" x14ac:dyDescent="0.25">
      <c r="A350" s="6">
        <v>349</v>
      </c>
      <c r="B350" s="6" t="s">
        <v>292</v>
      </c>
      <c r="C350" s="6" t="s">
        <v>992</v>
      </c>
    </row>
    <row r="351" spans="1:3" x14ac:dyDescent="0.25">
      <c r="A351" s="6">
        <v>350</v>
      </c>
      <c r="B351" s="6" t="s">
        <v>530</v>
      </c>
      <c r="C351" s="6" t="s">
        <v>1230</v>
      </c>
    </row>
    <row r="352" spans="1:3" x14ac:dyDescent="0.25">
      <c r="A352" s="6">
        <v>351</v>
      </c>
      <c r="B352" s="6" t="s">
        <v>442</v>
      </c>
      <c r="C352" s="6" t="s">
        <v>1142</v>
      </c>
    </row>
    <row r="353" spans="1:3" x14ac:dyDescent="0.25">
      <c r="A353" s="6">
        <v>352</v>
      </c>
      <c r="B353" s="6" t="s">
        <v>69</v>
      </c>
      <c r="C353" s="6" t="s">
        <v>769</v>
      </c>
    </row>
    <row r="354" spans="1:3" x14ac:dyDescent="0.25">
      <c r="A354" s="6">
        <v>353</v>
      </c>
      <c r="B354" s="6" t="s">
        <v>272</v>
      </c>
      <c r="C354" s="6" t="s">
        <v>972</v>
      </c>
    </row>
    <row r="355" spans="1:3" x14ac:dyDescent="0.25">
      <c r="A355" s="6">
        <v>354</v>
      </c>
      <c r="B355" s="6" t="s">
        <v>533</v>
      </c>
      <c r="C355" s="6" t="s">
        <v>1233</v>
      </c>
    </row>
    <row r="356" spans="1:3" x14ac:dyDescent="0.25">
      <c r="A356" s="6">
        <v>355</v>
      </c>
      <c r="B356" s="6" t="s">
        <v>330</v>
      </c>
      <c r="C356" s="6" t="s">
        <v>1030</v>
      </c>
    </row>
    <row r="357" spans="1:3" x14ac:dyDescent="0.25">
      <c r="A357" s="6">
        <v>356</v>
      </c>
      <c r="B357" s="6" t="s">
        <v>567</v>
      </c>
      <c r="C357" s="6" t="s">
        <v>1267</v>
      </c>
    </row>
    <row r="358" spans="1:3" x14ac:dyDescent="0.25">
      <c r="A358" s="6">
        <v>357</v>
      </c>
      <c r="B358" s="6" t="s">
        <v>508</v>
      </c>
      <c r="C358" s="6" t="s">
        <v>1208</v>
      </c>
    </row>
    <row r="359" spans="1:3" x14ac:dyDescent="0.25">
      <c r="A359" s="6">
        <v>358</v>
      </c>
      <c r="B359" s="6" t="s">
        <v>498</v>
      </c>
      <c r="C359" s="6" t="s">
        <v>1198</v>
      </c>
    </row>
    <row r="360" spans="1:3" x14ac:dyDescent="0.25">
      <c r="A360" s="6">
        <v>359</v>
      </c>
      <c r="B360" s="6" t="s">
        <v>70</v>
      </c>
      <c r="C360" s="6" t="s">
        <v>770</v>
      </c>
    </row>
    <row r="361" spans="1:3" x14ac:dyDescent="0.25">
      <c r="A361" s="6">
        <v>360</v>
      </c>
      <c r="B361" s="6" t="s">
        <v>285</v>
      </c>
      <c r="C361" s="6" t="s">
        <v>985</v>
      </c>
    </row>
    <row r="362" spans="1:3" x14ac:dyDescent="0.25">
      <c r="A362" s="6">
        <v>361</v>
      </c>
      <c r="B362" s="6" t="s">
        <v>71</v>
      </c>
      <c r="C362" s="6" t="s">
        <v>771</v>
      </c>
    </row>
    <row r="363" spans="1:3" x14ac:dyDescent="0.25">
      <c r="A363" s="6">
        <v>362</v>
      </c>
      <c r="B363" s="6" t="s">
        <v>406</v>
      </c>
      <c r="C363" s="6" t="s">
        <v>1106</v>
      </c>
    </row>
    <row r="364" spans="1:3" x14ac:dyDescent="0.25">
      <c r="A364" s="6">
        <v>363</v>
      </c>
      <c r="B364" s="6" t="s">
        <v>51</v>
      </c>
      <c r="C364" s="6" t="s">
        <v>751</v>
      </c>
    </row>
    <row r="365" spans="1:3" x14ac:dyDescent="0.25">
      <c r="A365" s="6">
        <v>364</v>
      </c>
      <c r="B365" s="6" t="s">
        <v>445</v>
      </c>
      <c r="C365" s="6" t="s">
        <v>1145</v>
      </c>
    </row>
    <row r="366" spans="1:3" x14ac:dyDescent="0.25">
      <c r="A366" s="6">
        <v>365</v>
      </c>
      <c r="B366" s="6" t="s">
        <v>502</v>
      </c>
      <c r="C366" s="6" t="s">
        <v>1202</v>
      </c>
    </row>
    <row r="367" spans="1:3" x14ac:dyDescent="0.25">
      <c r="A367" s="6">
        <v>366</v>
      </c>
      <c r="B367" s="6" t="s">
        <v>455</v>
      </c>
      <c r="C367" s="6" t="s">
        <v>1155</v>
      </c>
    </row>
    <row r="368" spans="1:3" x14ac:dyDescent="0.25">
      <c r="A368" s="6">
        <v>367</v>
      </c>
      <c r="B368" s="6" t="s">
        <v>263</v>
      </c>
      <c r="C368" s="6" t="s">
        <v>963</v>
      </c>
    </row>
    <row r="369" spans="1:3" x14ac:dyDescent="0.25">
      <c r="A369" s="6">
        <v>368</v>
      </c>
      <c r="B369" s="6" t="s">
        <v>197</v>
      </c>
      <c r="C369" s="6" t="s">
        <v>897</v>
      </c>
    </row>
    <row r="370" spans="1:3" x14ac:dyDescent="0.25">
      <c r="A370" s="6">
        <v>369</v>
      </c>
      <c r="B370" s="6" t="s">
        <v>518</v>
      </c>
      <c r="C370" s="6" t="s">
        <v>1218</v>
      </c>
    </row>
    <row r="371" spans="1:3" x14ac:dyDescent="0.25">
      <c r="A371" s="6">
        <v>370</v>
      </c>
      <c r="B371" s="6" t="s">
        <v>545</v>
      </c>
      <c r="C371" s="6" t="s">
        <v>1245</v>
      </c>
    </row>
    <row r="372" spans="1:3" x14ac:dyDescent="0.25">
      <c r="A372" s="6">
        <v>371</v>
      </c>
      <c r="B372" s="6" t="s">
        <v>277</v>
      </c>
      <c r="C372" s="6" t="s">
        <v>977</v>
      </c>
    </row>
    <row r="373" spans="1:3" x14ac:dyDescent="0.25">
      <c r="A373" s="6">
        <v>372</v>
      </c>
      <c r="B373" s="6" t="s">
        <v>513</v>
      </c>
      <c r="C373" s="6" t="s">
        <v>1213</v>
      </c>
    </row>
    <row r="374" spans="1:3" x14ac:dyDescent="0.25">
      <c r="A374" s="6">
        <v>373</v>
      </c>
      <c r="B374" s="6" t="s">
        <v>507</v>
      </c>
      <c r="C374" s="6" t="s">
        <v>1207</v>
      </c>
    </row>
    <row r="375" spans="1:3" x14ac:dyDescent="0.25">
      <c r="A375" s="6">
        <v>374</v>
      </c>
      <c r="B375" s="6" t="s">
        <v>73</v>
      </c>
      <c r="C375" s="6" t="s">
        <v>773</v>
      </c>
    </row>
    <row r="376" spans="1:3" x14ac:dyDescent="0.25">
      <c r="A376" s="6">
        <v>375</v>
      </c>
      <c r="B376" s="6" t="s">
        <v>684</v>
      </c>
      <c r="C376" s="6" t="s">
        <v>1384</v>
      </c>
    </row>
    <row r="377" spans="1:3" x14ac:dyDescent="0.25">
      <c r="A377" s="6">
        <v>376</v>
      </c>
      <c r="B377" s="6" t="s">
        <v>336</v>
      </c>
      <c r="C377" s="6" t="s">
        <v>1036</v>
      </c>
    </row>
    <row r="378" spans="1:3" x14ac:dyDescent="0.25">
      <c r="A378" s="6">
        <v>377</v>
      </c>
      <c r="B378" s="6" t="s">
        <v>74</v>
      </c>
      <c r="C378" s="6" t="s">
        <v>774</v>
      </c>
    </row>
    <row r="379" spans="1:3" x14ac:dyDescent="0.25">
      <c r="A379" s="6">
        <v>378</v>
      </c>
      <c r="B379" s="6" t="s">
        <v>551</v>
      </c>
      <c r="C379" s="6" t="s">
        <v>1251</v>
      </c>
    </row>
    <row r="380" spans="1:3" x14ac:dyDescent="0.25">
      <c r="A380" s="6">
        <v>379</v>
      </c>
      <c r="B380" s="6" t="s">
        <v>613</v>
      </c>
      <c r="C380" s="6" t="s">
        <v>1313</v>
      </c>
    </row>
    <row r="381" spans="1:3" x14ac:dyDescent="0.25">
      <c r="A381" s="6">
        <v>380</v>
      </c>
      <c r="B381" s="6" t="s">
        <v>75</v>
      </c>
      <c r="C381" s="6" t="s">
        <v>775</v>
      </c>
    </row>
    <row r="382" spans="1:3" x14ac:dyDescent="0.25">
      <c r="A382" s="6">
        <v>381</v>
      </c>
      <c r="B382" s="6" t="s">
        <v>326</v>
      </c>
      <c r="C382" s="6" t="s">
        <v>1026</v>
      </c>
    </row>
    <row r="383" spans="1:3" x14ac:dyDescent="0.25">
      <c r="A383" s="6">
        <v>382</v>
      </c>
      <c r="B383" s="6" t="s">
        <v>77</v>
      </c>
      <c r="C383" s="6" t="s">
        <v>777</v>
      </c>
    </row>
    <row r="384" spans="1:3" x14ac:dyDescent="0.25">
      <c r="A384" s="6">
        <v>383</v>
      </c>
      <c r="B384" s="6" t="s">
        <v>608</v>
      </c>
      <c r="C384" s="6" t="s">
        <v>1308</v>
      </c>
    </row>
    <row r="385" spans="1:3" x14ac:dyDescent="0.25">
      <c r="A385" s="6">
        <v>384</v>
      </c>
      <c r="B385" s="6" t="s">
        <v>133</v>
      </c>
      <c r="C385" s="6" t="s">
        <v>833</v>
      </c>
    </row>
    <row r="386" spans="1:3" x14ac:dyDescent="0.25">
      <c r="A386" s="6">
        <v>385</v>
      </c>
      <c r="B386" s="6" t="s">
        <v>620</v>
      </c>
      <c r="C386" s="6" t="s">
        <v>1320</v>
      </c>
    </row>
    <row r="387" spans="1:3" x14ac:dyDescent="0.25">
      <c r="A387" s="6">
        <v>386</v>
      </c>
      <c r="B387" s="6" t="s">
        <v>659</v>
      </c>
      <c r="C387" s="6" t="s">
        <v>1359</v>
      </c>
    </row>
    <row r="388" spans="1:3" x14ac:dyDescent="0.25">
      <c r="A388" s="6">
        <v>387</v>
      </c>
      <c r="B388" s="6" t="s">
        <v>78</v>
      </c>
      <c r="C388" s="6" t="s">
        <v>778</v>
      </c>
    </row>
    <row r="389" spans="1:3" x14ac:dyDescent="0.25">
      <c r="A389" s="6">
        <v>388</v>
      </c>
      <c r="B389" s="6" t="s">
        <v>355</v>
      </c>
      <c r="C389" s="6" t="s">
        <v>1055</v>
      </c>
    </row>
    <row r="390" spans="1:3" x14ac:dyDescent="0.25">
      <c r="A390" s="6">
        <v>389</v>
      </c>
      <c r="B390" s="6" t="s">
        <v>295</v>
      </c>
      <c r="C390" s="6" t="s">
        <v>995</v>
      </c>
    </row>
    <row r="391" spans="1:3" x14ac:dyDescent="0.25">
      <c r="A391" s="6">
        <v>390</v>
      </c>
      <c r="B391" s="6" t="s">
        <v>470</v>
      </c>
      <c r="C391" s="6" t="s">
        <v>1170</v>
      </c>
    </row>
    <row r="392" spans="1:3" x14ac:dyDescent="0.25">
      <c r="A392" s="6">
        <v>391</v>
      </c>
      <c r="B392" s="6" t="s">
        <v>79</v>
      </c>
      <c r="C392" s="6" t="s">
        <v>779</v>
      </c>
    </row>
    <row r="393" spans="1:3" x14ac:dyDescent="0.25">
      <c r="A393" s="6">
        <v>392</v>
      </c>
      <c r="B393" s="6" t="s">
        <v>593</v>
      </c>
      <c r="C393" s="6" t="s">
        <v>1293</v>
      </c>
    </row>
    <row r="394" spans="1:3" x14ac:dyDescent="0.25">
      <c r="A394" s="6">
        <v>393</v>
      </c>
      <c r="B394" s="6" t="s">
        <v>304</v>
      </c>
      <c r="C394" s="6" t="s">
        <v>1004</v>
      </c>
    </row>
    <row r="395" spans="1:3" x14ac:dyDescent="0.25">
      <c r="A395" s="6">
        <v>394</v>
      </c>
      <c r="B395" s="6" t="s">
        <v>606</v>
      </c>
      <c r="C395" s="6" t="s">
        <v>1306</v>
      </c>
    </row>
    <row r="396" spans="1:3" x14ac:dyDescent="0.25">
      <c r="A396" s="6">
        <v>395</v>
      </c>
      <c r="B396" s="6" t="s">
        <v>82</v>
      </c>
      <c r="C396" s="6" t="s">
        <v>782</v>
      </c>
    </row>
    <row r="397" spans="1:3" x14ac:dyDescent="0.25">
      <c r="A397" s="6">
        <v>396</v>
      </c>
      <c r="B397" s="6" t="s">
        <v>81</v>
      </c>
      <c r="C397" s="6" t="s">
        <v>781</v>
      </c>
    </row>
    <row r="398" spans="1:3" x14ac:dyDescent="0.25">
      <c r="A398" s="6">
        <v>397</v>
      </c>
      <c r="B398" s="6" t="s">
        <v>456</v>
      </c>
      <c r="C398" s="6" t="s">
        <v>1156</v>
      </c>
    </row>
    <row r="399" spans="1:3" x14ac:dyDescent="0.25">
      <c r="A399" s="6">
        <v>398</v>
      </c>
      <c r="B399" s="6" t="s">
        <v>134</v>
      </c>
      <c r="C399" s="6" t="s">
        <v>834</v>
      </c>
    </row>
    <row r="400" spans="1:3" x14ac:dyDescent="0.25">
      <c r="A400" s="6">
        <v>399</v>
      </c>
      <c r="B400" s="6" t="s">
        <v>464</v>
      </c>
      <c r="C400" s="6" t="s">
        <v>1164</v>
      </c>
    </row>
    <row r="401" spans="1:3" x14ac:dyDescent="0.25">
      <c r="A401" s="6">
        <v>400</v>
      </c>
      <c r="B401" s="6" t="s">
        <v>524</v>
      </c>
      <c r="C401" s="6" t="s">
        <v>1224</v>
      </c>
    </row>
    <row r="402" spans="1:3" x14ac:dyDescent="0.25">
      <c r="A402" s="6">
        <v>401</v>
      </c>
      <c r="B402" s="6" t="s">
        <v>386</v>
      </c>
      <c r="C402" s="6" t="s">
        <v>1086</v>
      </c>
    </row>
    <row r="403" spans="1:3" x14ac:dyDescent="0.25">
      <c r="A403" s="6">
        <v>402</v>
      </c>
      <c r="B403" s="6" t="s">
        <v>645</v>
      </c>
      <c r="C403" s="6" t="s">
        <v>1345</v>
      </c>
    </row>
    <row r="404" spans="1:3" x14ac:dyDescent="0.25">
      <c r="A404" s="6">
        <v>403</v>
      </c>
      <c r="B404" s="6" t="s">
        <v>343</v>
      </c>
      <c r="C404" s="6" t="s">
        <v>1043</v>
      </c>
    </row>
    <row r="405" spans="1:3" x14ac:dyDescent="0.25">
      <c r="A405" s="6">
        <v>404</v>
      </c>
      <c r="B405" s="6" t="s">
        <v>169</v>
      </c>
      <c r="C405" s="6" t="s">
        <v>869</v>
      </c>
    </row>
    <row r="406" spans="1:3" x14ac:dyDescent="0.25">
      <c r="A406" s="6">
        <v>405</v>
      </c>
      <c r="B406" s="6" t="s">
        <v>34</v>
      </c>
      <c r="C406" s="6" t="s">
        <v>734</v>
      </c>
    </row>
    <row r="407" spans="1:3" x14ac:dyDescent="0.25">
      <c r="A407" s="6">
        <v>406</v>
      </c>
      <c r="B407" s="6" t="s">
        <v>356</v>
      </c>
      <c r="C407" s="6" t="s">
        <v>1056</v>
      </c>
    </row>
    <row r="408" spans="1:3" x14ac:dyDescent="0.25">
      <c r="A408" s="6">
        <v>407</v>
      </c>
      <c r="B408" s="6" t="s">
        <v>313</v>
      </c>
      <c r="C408" s="6" t="s">
        <v>1013</v>
      </c>
    </row>
    <row r="409" spans="1:3" x14ac:dyDescent="0.25">
      <c r="A409" s="6">
        <v>408</v>
      </c>
      <c r="B409" s="6" t="s">
        <v>416</v>
      </c>
      <c r="C409" s="6" t="s">
        <v>1116</v>
      </c>
    </row>
    <row r="410" spans="1:3" x14ac:dyDescent="0.25">
      <c r="A410" s="6">
        <v>409</v>
      </c>
      <c r="B410" s="6" t="s">
        <v>640</v>
      </c>
      <c r="C410" s="6" t="s">
        <v>1340</v>
      </c>
    </row>
    <row r="411" spans="1:3" x14ac:dyDescent="0.25">
      <c r="A411" s="6">
        <v>410</v>
      </c>
      <c r="B411" s="6" t="s">
        <v>303</v>
      </c>
      <c r="C411" s="6" t="s">
        <v>1003</v>
      </c>
    </row>
    <row r="412" spans="1:3" x14ac:dyDescent="0.25">
      <c r="A412" s="6">
        <v>411</v>
      </c>
      <c r="B412" s="6" t="s">
        <v>83</v>
      </c>
      <c r="C412" s="6" t="s">
        <v>783</v>
      </c>
    </row>
    <row r="413" spans="1:3" x14ac:dyDescent="0.25">
      <c r="A413" s="6">
        <v>412</v>
      </c>
      <c r="B413" s="6" t="s">
        <v>282</v>
      </c>
      <c r="C413" s="6" t="s">
        <v>982</v>
      </c>
    </row>
    <row r="414" spans="1:3" x14ac:dyDescent="0.25">
      <c r="A414" s="6">
        <v>413</v>
      </c>
      <c r="B414" s="6" t="s">
        <v>492</v>
      </c>
      <c r="C414" s="6" t="s">
        <v>1192</v>
      </c>
    </row>
    <row r="415" spans="1:3" x14ac:dyDescent="0.25">
      <c r="A415" s="6">
        <v>414</v>
      </c>
      <c r="B415" s="6" t="s">
        <v>683</v>
      </c>
      <c r="C415" s="6" t="s">
        <v>1383</v>
      </c>
    </row>
    <row r="416" spans="1:3" x14ac:dyDescent="0.25">
      <c r="A416" s="6">
        <v>415</v>
      </c>
      <c r="B416" s="6" t="s">
        <v>579</v>
      </c>
      <c r="C416" s="6" t="s">
        <v>1279</v>
      </c>
    </row>
    <row r="417" spans="1:3" x14ac:dyDescent="0.25">
      <c r="A417" s="6">
        <v>416</v>
      </c>
      <c r="B417" s="6" t="s">
        <v>431</v>
      </c>
      <c r="C417" s="6" t="s">
        <v>1131</v>
      </c>
    </row>
    <row r="418" spans="1:3" x14ac:dyDescent="0.25">
      <c r="A418" s="6">
        <v>417</v>
      </c>
      <c r="B418" s="6" t="s">
        <v>479</v>
      </c>
      <c r="C418" s="6" t="s">
        <v>1179</v>
      </c>
    </row>
    <row r="419" spans="1:3" x14ac:dyDescent="0.25">
      <c r="A419" s="6">
        <v>418</v>
      </c>
      <c r="B419" s="6" t="s">
        <v>658</v>
      </c>
      <c r="C419" s="6" t="s">
        <v>1358</v>
      </c>
    </row>
    <row r="420" spans="1:3" x14ac:dyDescent="0.25">
      <c r="A420" s="6">
        <v>419</v>
      </c>
      <c r="B420" s="6" t="s">
        <v>245</v>
      </c>
      <c r="C420" s="6" t="s">
        <v>945</v>
      </c>
    </row>
    <row r="421" spans="1:3" x14ac:dyDescent="0.25">
      <c r="A421" s="6">
        <v>420</v>
      </c>
      <c r="B421" s="6" t="s">
        <v>544</v>
      </c>
      <c r="C421" s="6" t="s">
        <v>1244</v>
      </c>
    </row>
    <row r="422" spans="1:3" x14ac:dyDescent="0.25">
      <c r="A422" s="6">
        <v>421</v>
      </c>
      <c r="B422" s="6" t="s">
        <v>523</v>
      </c>
      <c r="C422" s="6" t="s">
        <v>1223</v>
      </c>
    </row>
    <row r="423" spans="1:3" x14ac:dyDescent="0.25">
      <c r="A423" s="6">
        <v>422</v>
      </c>
      <c r="B423" s="6" t="s">
        <v>85</v>
      </c>
      <c r="C423" s="6" t="s">
        <v>785</v>
      </c>
    </row>
    <row r="424" spans="1:3" x14ac:dyDescent="0.25">
      <c r="A424" s="6">
        <v>423</v>
      </c>
      <c r="B424" s="6" t="s">
        <v>258</v>
      </c>
      <c r="C424" s="6" t="s">
        <v>958</v>
      </c>
    </row>
    <row r="425" spans="1:3" x14ac:dyDescent="0.25">
      <c r="A425" s="6">
        <v>424</v>
      </c>
      <c r="B425" s="6" t="s">
        <v>500</v>
      </c>
      <c r="C425" s="6" t="s">
        <v>1200</v>
      </c>
    </row>
    <row r="426" spans="1:3" x14ac:dyDescent="0.25">
      <c r="A426" s="6">
        <v>425</v>
      </c>
      <c r="B426" s="6" t="s">
        <v>322</v>
      </c>
      <c r="C426" s="6" t="s">
        <v>1022</v>
      </c>
    </row>
    <row r="427" spans="1:3" x14ac:dyDescent="0.25">
      <c r="A427" s="6">
        <v>426</v>
      </c>
      <c r="B427" s="6" t="s">
        <v>86</v>
      </c>
      <c r="C427" s="6" t="s">
        <v>786</v>
      </c>
    </row>
    <row r="428" spans="1:3" x14ac:dyDescent="0.25">
      <c r="A428" s="6">
        <v>427</v>
      </c>
      <c r="B428" s="6" t="s">
        <v>681</v>
      </c>
      <c r="C428" s="6" t="s">
        <v>1381</v>
      </c>
    </row>
    <row r="429" spans="1:3" x14ac:dyDescent="0.25">
      <c r="A429" s="6">
        <v>428</v>
      </c>
      <c r="B429" s="6" t="s">
        <v>558</v>
      </c>
      <c r="C429" s="6" t="s">
        <v>1258</v>
      </c>
    </row>
    <row r="430" spans="1:3" x14ac:dyDescent="0.25">
      <c r="A430" s="6">
        <v>429</v>
      </c>
      <c r="B430" s="6" t="s">
        <v>549</v>
      </c>
      <c r="C430" s="6" t="s">
        <v>1249</v>
      </c>
    </row>
    <row r="431" spans="1:3" x14ac:dyDescent="0.25">
      <c r="A431" s="6">
        <v>430</v>
      </c>
      <c r="B431" s="6" t="s">
        <v>594</v>
      </c>
      <c r="C431" s="6" t="s">
        <v>1294</v>
      </c>
    </row>
    <row r="432" spans="1:3" x14ac:dyDescent="0.25">
      <c r="A432" s="6">
        <v>431</v>
      </c>
      <c r="B432" s="6" t="s">
        <v>321</v>
      </c>
      <c r="C432" s="6" t="s">
        <v>1021</v>
      </c>
    </row>
    <row r="433" spans="1:3" x14ac:dyDescent="0.25">
      <c r="A433" s="6">
        <v>432</v>
      </c>
      <c r="B433" s="6" t="s">
        <v>572</v>
      </c>
      <c r="C433" s="6" t="s">
        <v>1272</v>
      </c>
    </row>
    <row r="434" spans="1:3" x14ac:dyDescent="0.25">
      <c r="A434" s="6">
        <v>433</v>
      </c>
      <c r="B434" s="6" t="s">
        <v>377</v>
      </c>
      <c r="C434" s="6" t="s">
        <v>1077</v>
      </c>
    </row>
    <row r="435" spans="1:3" x14ac:dyDescent="0.25">
      <c r="A435" s="6">
        <v>434</v>
      </c>
      <c r="B435" s="6" t="s">
        <v>299</v>
      </c>
      <c r="C435" s="6" t="s">
        <v>999</v>
      </c>
    </row>
    <row r="436" spans="1:3" x14ac:dyDescent="0.25">
      <c r="A436" s="6">
        <v>435</v>
      </c>
      <c r="B436" s="6" t="s">
        <v>90</v>
      </c>
      <c r="C436" s="6" t="s">
        <v>790</v>
      </c>
    </row>
    <row r="437" spans="1:3" x14ac:dyDescent="0.25">
      <c r="A437" s="6">
        <v>436</v>
      </c>
      <c r="B437" s="6" t="s">
        <v>243</v>
      </c>
      <c r="C437" s="6" t="s">
        <v>943</v>
      </c>
    </row>
    <row r="438" spans="1:3" x14ac:dyDescent="0.25">
      <c r="A438" s="6">
        <v>437</v>
      </c>
      <c r="B438" s="6" t="s">
        <v>417</v>
      </c>
      <c r="C438" s="6" t="s">
        <v>1117</v>
      </c>
    </row>
    <row r="439" spans="1:3" x14ac:dyDescent="0.25">
      <c r="A439" s="6">
        <v>438</v>
      </c>
      <c r="B439" s="6" t="s">
        <v>220</v>
      </c>
      <c r="C439" s="6" t="s">
        <v>920</v>
      </c>
    </row>
    <row r="440" spans="1:3" x14ac:dyDescent="0.25">
      <c r="A440" s="6">
        <v>439</v>
      </c>
      <c r="B440" s="6" t="s">
        <v>560</v>
      </c>
      <c r="C440" s="6" t="s">
        <v>1260</v>
      </c>
    </row>
    <row r="441" spans="1:3" x14ac:dyDescent="0.25">
      <c r="A441" s="6">
        <v>440</v>
      </c>
      <c r="B441" s="6" t="s">
        <v>88</v>
      </c>
      <c r="C441" s="6" t="s">
        <v>788</v>
      </c>
    </row>
    <row r="442" spans="1:3" x14ac:dyDescent="0.25">
      <c r="A442" s="6">
        <v>441</v>
      </c>
      <c r="B442" s="6" t="s">
        <v>170</v>
      </c>
      <c r="C442" s="6" t="s">
        <v>870</v>
      </c>
    </row>
    <row r="443" spans="1:3" x14ac:dyDescent="0.25">
      <c r="A443" s="6">
        <v>442</v>
      </c>
      <c r="B443" s="6" t="s">
        <v>180</v>
      </c>
      <c r="C443" s="6" t="s">
        <v>880</v>
      </c>
    </row>
    <row r="444" spans="1:3" x14ac:dyDescent="0.25">
      <c r="A444" s="6">
        <v>443</v>
      </c>
      <c r="B444" s="6" t="s">
        <v>686</v>
      </c>
      <c r="C444" s="6" t="s">
        <v>1386</v>
      </c>
    </row>
    <row r="445" spans="1:3" x14ac:dyDescent="0.25">
      <c r="A445" s="6">
        <v>444</v>
      </c>
      <c r="B445" s="6" t="s">
        <v>188</v>
      </c>
      <c r="C445" s="6" t="s">
        <v>888</v>
      </c>
    </row>
    <row r="446" spans="1:3" x14ac:dyDescent="0.25">
      <c r="A446" s="6">
        <v>445</v>
      </c>
      <c r="B446" s="6" t="s">
        <v>153</v>
      </c>
      <c r="C446" s="6" t="s">
        <v>853</v>
      </c>
    </row>
    <row r="447" spans="1:3" x14ac:dyDescent="0.25">
      <c r="A447" s="6">
        <v>446</v>
      </c>
      <c r="B447" s="6" t="s">
        <v>472</v>
      </c>
      <c r="C447" s="6" t="s">
        <v>1172</v>
      </c>
    </row>
    <row r="448" spans="1:3" x14ac:dyDescent="0.25">
      <c r="A448" s="6">
        <v>447</v>
      </c>
      <c r="B448" s="6" t="s">
        <v>315</v>
      </c>
      <c r="C448" s="6" t="s">
        <v>1015</v>
      </c>
    </row>
    <row r="449" spans="1:3" x14ac:dyDescent="0.25">
      <c r="A449" s="6">
        <v>448</v>
      </c>
      <c r="B449" s="6" t="s">
        <v>649</v>
      </c>
      <c r="C449" s="6" t="s">
        <v>1349</v>
      </c>
    </row>
    <row r="450" spans="1:3" x14ac:dyDescent="0.25">
      <c r="A450" s="6">
        <v>449</v>
      </c>
      <c r="B450" s="6" t="s">
        <v>526</v>
      </c>
      <c r="C450" s="6" t="s">
        <v>1226</v>
      </c>
    </row>
    <row r="451" spans="1:3" x14ac:dyDescent="0.25">
      <c r="A451" s="6">
        <v>450</v>
      </c>
      <c r="B451" s="6" t="s">
        <v>93</v>
      </c>
      <c r="C451" s="6" t="s">
        <v>793</v>
      </c>
    </row>
    <row r="452" spans="1:3" x14ac:dyDescent="0.25">
      <c r="A452" s="6">
        <v>451</v>
      </c>
      <c r="B452" s="6" t="s">
        <v>290</v>
      </c>
      <c r="C452" s="6" t="s">
        <v>990</v>
      </c>
    </row>
    <row r="453" spans="1:3" x14ac:dyDescent="0.25">
      <c r="A453" s="6">
        <v>452</v>
      </c>
      <c r="B453" s="6" t="s">
        <v>644</v>
      </c>
      <c r="C453" s="6" t="s">
        <v>1344</v>
      </c>
    </row>
    <row r="454" spans="1:3" x14ac:dyDescent="0.25">
      <c r="A454" s="6">
        <v>453</v>
      </c>
      <c r="B454" s="6" t="s">
        <v>94</v>
      </c>
      <c r="C454" s="6" t="s">
        <v>794</v>
      </c>
    </row>
    <row r="455" spans="1:3" x14ac:dyDescent="0.25">
      <c r="A455" s="6">
        <v>454</v>
      </c>
      <c r="B455" s="6" t="s">
        <v>249</v>
      </c>
      <c r="C455" s="6" t="s">
        <v>949</v>
      </c>
    </row>
    <row r="456" spans="1:3" x14ac:dyDescent="0.25">
      <c r="A456" s="6">
        <v>455</v>
      </c>
      <c r="B456" s="6" t="s">
        <v>323</v>
      </c>
      <c r="C456" s="6" t="s">
        <v>1023</v>
      </c>
    </row>
    <row r="457" spans="1:3" x14ac:dyDescent="0.25">
      <c r="A457" s="6">
        <v>456</v>
      </c>
      <c r="B457" s="6" t="s">
        <v>151</v>
      </c>
      <c r="C457" s="6" t="s">
        <v>851</v>
      </c>
    </row>
    <row r="458" spans="1:3" x14ac:dyDescent="0.25">
      <c r="A458" s="6">
        <v>457</v>
      </c>
      <c r="B458" s="6" t="s">
        <v>145</v>
      </c>
      <c r="C458" s="6" t="s">
        <v>845</v>
      </c>
    </row>
    <row r="459" spans="1:3" x14ac:dyDescent="0.25">
      <c r="A459" s="6">
        <v>458</v>
      </c>
      <c r="B459" s="6" t="s">
        <v>333</v>
      </c>
      <c r="C459" s="6" t="s">
        <v>1033</v>
      </c>
    </row>
    <row r="460" spans="1:3" x14ac:dyDescent="0.25">
      <c r="A460" s="6">
        <v>459</v>
      </c>
      <c r="B460" s="6" t="s">
        <v>436</v>
      </c>
      <c r="C460" s="6" t="s">
        <v>1136</v>
      </c>
    </row>
    <row r="461" spans="1:3" x14ac:dyDescent="0.25">
      <c r="A461" s="6">
        <v>460</v>
      </c>
      <c r="B461" s="6" t="s">
        <v>342</v>
      </c>
      <c r="C461" s="6" t="s">
        <v>1042</v>
      </c>
    </row>
    <row r="462" spans="1:3" x14ac:dyDescent="0.25">
      <c r="A462" s="6">
        <v>461</v>
      </c>
      <c r="B462" s="6" t="s">
        <v>541</v>
      </c>
      <c r="C462" s="6" t="s">
        <v>1241</v>
      </c>
    </row>
    <row r="463" spans="1:3" x14ac:dyDescent="0.25">
      <c r="A463" s="6">
        <v>462</v>
      </c>
      <c r="B463" s="6" t="s">
        <v>95</v>
      </c>
      <c r="C463" s="6" t="s">
        <v>795</v>
      </c>
    </row>
    <row r="464" spans="1:3" x14ac:dyDescent="0.25">
      <c r="A464" s="6">
        <v>463</v>
      </c>
      <c r="B464" s="6" t="s">
        <v>527</v>
      </c>
      <c r="C464" s="6" t="s">
        <v>1227</v>
      </c>
    </row>
    <row r="465" spans="1:3" x14ac:dyDescent="0.25">
      <c r="A465" s="6">
        <v>464</v>
      </c>
      <c r="B465" s="6" t="s">
        <v>495</v>
      </c>
      <c r="C465" s="6" t="s">
        <v>1195</v>
      </c>
    </row>
    <row r="466" spans="1:3" x14ac:dyDescent="0.25">
      <c r="A466" s="6">
        <v>465</v>
      </c>
      <c r="B466" s="6" t="s">
        <v>405</v>
      </c>
      <c r="C466" s="6" t="s">
        <v>1105</v>
      </c>
    </row>
    <row r="467" spans="1:3" x14ac:dyDescent="0.25">
      <c r="A467" s="6">
        <v>466</v>
      </c>
      <c r="B467" s="6" t="s">
        <v>568</v>
      </c>
      <c r="C467" s="6" t="s">
        <v>1268</v>
      </c>
    </row>
    <row r="468" spans="1:3" x14ac:dyDescent="0.25">
      <c r="A468" s="6">
        <v>467</v>
      </c>
      <c r="B468" s="6" t="s">
        <v>660</v>
      </c>
      <c r="C468" s="6" t="s">
        <v>1360</v>
      </c>
    </row>
    <row r="469" spans="1:3" x14ac:dyDescent="0.25">
      <c r="A469" s="6">
        <v>468</v>
      </c>
      <c r="B469" s="6" t="s">
        <v>557</v>
      </c>
      <c r="C469" s="6" t="s">
        <v>1257</v>
      </c>
    </row>
    <row r="470" spans="1:3" x14ac:dyDescent="0.25">
      <c r="A470" s="6">
        <v>469</v>
      </c>
      <c r="B470" s="6" t="s">
        <v>206</v>
      </c>
      <c r="C470" s="6" t="s">
        <v>906</v>
      </c>
    </row>
    <row r="471" spans="1:3" x14ac:dyDescent="0.25">
      <c r="A471" s="6">
        <v>470</v>
      </c>
      <c r="B471" s="6" t="s">
        <v>481</v>
      </c>
      <c r="C471" s="6" t="s">
        <v>1181</v>
      </c>
    </row>
    <row r="472" spans="1:3" x14ac:dyDescent="0.25">
      <c r="A472" s="6">
        <v>471</v>
      </c>
      <c r="B472" s="6" t="s">
        <v>503</v>
      </c>
      <c r="C472" s="6" t="s">
        <v>1203</v>
      </c>
    </row>
    <row r="473" spans="1:3" x14ac:dyDescent="0.25">
      <c r="A473" s="6">
        <v>472</v>
      </c>
      <c r="B473" s="6" t="s">
        <v>347</v>
      </c>
      <c r="C473" s="6" t="s">
        <v>1047</v>
      </c>
    </row>
    <row r="474" spans="1:3" x14ac:dyDescent="0.25">
      <c r="A474" s="6">
        <v>473</v>
      </c>
      <c r="B474" s="6" t="s">
        <v>605</v>
      </c>
      <c r="C474" s="6" t="s">
        <v>1305</v>
      </c>
    </row>
    <row r="475" spans="1:3" x14ac:dyDescent="0.25">
      <c r="A475" s="6">
        <v>474</v>
      </c>
      <c r="B475" s="6" t="s">
        <v>339</v>
      </c>
      <c r="C475" s="6" t="s">
        <v>1039</v>
      </c>
    </row>
    <row r="476" spans="1:3" x14ac:dyDescent="0.25">
      <c r="A476" s="6">
        <v>475</v>
      </c>
      <c r="B476" s="6" t="s">
        <v>563</v>
      </c>
      <c r="C476" s="6" t="s">
        <v>1263</v>
      </c>
    </row>
    <row r="477" spans="1:3" x14ac:dyDescent="0.25">
      <c r="A477" s="6">
        <v>476</v>
      </c>
      <c r="B477" s="6" t="s">
        <v>535</v>
      </c>
      <c r="C477" s="6" t="s">
        <v>1235</v>
      </c>
    </row>
    <row r="478" spans="1:3" x14ac:dyDescent="0.25">
      <c r="A478" s="6">
        <v>477</v>
      </c>
      <c r="B478" s="6" t="s">
        <v>423</v>
      </c>
      <c r="C478" s="6" t="s">
        <v>1123</v>
      </c>
    </row>
    <row r="479" spans="1:3" x14ac:dyDescent="0.25">
      <c r="A479" s="6">
        <v>478</v>
      </c>
      <c r="B479" s="6" t="s">
        <v>147</v>
      </c>
      <c r="C479" s="6" t="s">
        <v>847</v>
      </c>
    </row>
    <row r="480" spans="1:3" x14ac:dyDescent="0.25">
      <c r="A480" s="6">
        <v>479</v>
      </c>
      <c r="B480" s="6" t="s">
        <v>207</v>
      </c>
      <c r="C480" s="6" t="s">
        <v>907</v>
      </c>
    </row>
    <row r="481" spans="1:3" x14ac:dyDescent="0.25">
      <c r="A481" s="6">
        <v>480</v>
      </c>
      <c r="B481" s="6" t="s">
        <v>300</v>
      </c>
      <c r="C481" s="6" t="s">
        <v>1000</v>
      </c>
    </row>
    <row r="482" spans="1:3" x14ac:dyDescent="0.25">
      <c r="A482" s="6">
        <v>481</v>
      </c>
      <c r="B482" s="6" t="s">
        <v>98</v>
      </c>
      <c r="C482" s="6" t="s">
        <v>798</v>
      </c>
    </row>
    <row r="483" spans="1:3" x14ac:dyDescent="0.25">
      <c r="A483" s="6">
        <v>482</v>
      </c>
      <c r="B483" s="6" t="s">
        <v>604</v>
      </c>
      <c r="C483" s="6" t="s">
        <v>1304</v>
      </c>
    </row>
    <row r="484" spans="1:3" x14ac:dyDescent="0.25">
      <c r="A484" s="6">
        <v>483</v>
      </c>
      <c r="B484" s="6" t="s">
        <v>92</v>
      </c>
      <c r="C484" s="6" t="s">
        <v>792</v>
      </c>
    </row>
    <row r="485" spans="1:3" x14ac:dyDescent="0.25">
      <c r="A485" s="6">
        <v>484</v>
      </c>
      <c r="B485" s="6" t="s">
        <v>616</v>
      </c>
      <c r="C485" s="6" t="s">
        <v>1316</v>
      </c>
    </row>
    <row r="486" spans="1:3" x14ac:dyDescent="0.25">
      <c r="A486" s="6">
        <v>485</v>
      </c>
      <c r="B486" s="6" t="s">
        <v>581</v>
      </c>
      <c r="C486" s="6" t="s">
        <v>1281</v>
      </c>
    </row>
    <row r="487" spans="1:3" x14ac:dyDescent="0.25">
      <c r="A487" s="6">
        <v>486</v>
      </c>
      <c r="B487" s="6" t="s">
        <v>358</v>
      </c>
      <c r="C487" s="6" t="s">
        <v>1058</v>
      </c>
    </row>
    <row r="488" spans="1:3" x14ac:dyDescent="0.25">
      <c r="A488" s="6">
        <v>487</v>
      </c>
      <c r="B488" s="6" t="s">
        <v>685</v>
      </c>
      <c r="C488" s="6" t="s">
        <v>1385</v>
      </c>
    </row>
    <row r="489" spans="1:3" x14ac:dyDescent="0.25">
      <c r="A489" s="6">
        <v>488</v>
      </c>
      <c r="B489" s="6" t="s">
        <v>305</v>
      </c>
      <c r="C489" s="6" t="s">
        <v>1005</v>
      </c>
    </row>
    <row r="490" spans="1:3" x14ac:dyDescent="0.25">
      <c r="A490" s="6">
        <v>489</v>
      </c>
      <c r="B490" s="6" t="s">
        <v>476</v>
      </c>
      <c r="C490" s="6" t="s">
        <v>1176</v>
      </c>
    </row>
    <row r="491" spans="1:3" x14ac:dyDescent="0.25">
      <c r="A491" s="6">
        <v>490</v>
      </c>
      <c r="B491" s="6" t="s">
        <v>501</v>
      </c>
      <c r="C491" s="6" t="s">
        <v>1201</v>
      </c>
    </row>
    <row r="492" spans="1:3" x14ac:dyDescent="0.25">
      <c r="A492" s="6">
        <v>491</v>
      </c>
      <c r="B492" s="6" t="s">
        <v>585</v>
      </c>
      <c r="C492" s="6" t="s">
        <v>1285</v>
      </c>
    </row>
    <row r="493" spans="1:3" x14ac:dyDescent="0.25">
      <c r="A493" s="6">
        <v>492</v>
      </c>
      <c r="B493" s="6" t="s">
        <v>281</v>
      </c>
      <c r="C493" s="6" t="s">
        <v>981</v>
      </c>
    </row>
    <row r="494" spans="1:3" x14ac:dyDescent="0.25">
      <c r="A494" s="6">
        <v>493</v>
      </c>
      <c r="B494" s="6" t="s">
        <v>198</v>
      </c>
      <c r="C494" s="6" t="s">
        <v>898</v>
      </c>
    </row>
    <row r="495" spans="1:3" x14ac:dyDescent="0.25">
      <c r="A495" s="6">
        <v>494</v>
      </c>
      <c r="B495" s="6" t="s">
        <v>638</v>
      </c>
      <c r="C495" s="6" t="s">
        <v>1338</v>
      </c>
    </row>
    <row r="496" spans="1:3" x14ac:dyDescent="0.25">
      <c r="A496" s="6">
        <v>495</v>
      </c>
      <c r="B496" s="6" t="s">
        <v>542</v>
      </c>
      <c r="C496" s="6" t="s">
        <v>1242</v>
      </c>
    </row>
    <row r="497" spans="1:3" x14ac:dyDescent="0.25">
      <c r="A497" s="6">
        <v>496</v>
      </c>
      <c r="B497" s="6" t="s">
        <v>621</v>
      </c>
      <c r="C497" s="6" t="s">
        <v>1321</v>
      </c>
    </row>
    <row r="498" spans="1:3" x14ac:dyDescent="0.25">
      <c r="A498" s="6">
        <v>497</v>
      </c>
      <c r="B498" s="6" t="s">
        <v>698</v>
      </c>
      <c r="C498" s="6" t="s">
        <v>1398</v>
      </c>
    </row>
    <row r="499" spans="1:3" x14ac:dyDescent="0.25">
      <c r="A499" s="6">
        <v>498</v>
      </c>
      <c r="B499" s="6" t="s">
        <v>101</v>
      </c>
      <c r="C499" s="6" t="s">
        <v>801</v>
      </c>
    </row>
    <row r="500" spans="1:3" x14ac:dyDescent="0.25">
      <c r="A500" s="6">
        <v>499</v>
      </c>
      <c r="B500" s="6" t="s">
        <v>331</v>
      </c>
      <c r="C500" s="6" t="s">
        <v>1031</v>
      </c>
    </row>
    <row r="501" spans="1:3" x14ac:dyDescent="0.25">
      <c r="A501" s="6">
        <v>500</v>
      </c>
      <c r="B501" s="6" t="s">
        <v>44</v>
      </c>
      <c r="C501" s="6" t="s">
        <v>744</v>
      </c>
    </row>
    <row r="502" spans="1:3" x14ac:dyDescent="0.25">
      <c r="A502" s="6">
        <v>501</v>
      </c>
      <c r="B502" s="6" t="s">
        <v>122</v>
      </c>
      <c r="C502" s="6" t="s">
        <v>822</v>
      </c>
    </row>
    <row r="503" spans="1:3" x14ac:dyDescent="0.25">
      <c r="A503" s="6">
        <v>502</v>
      </c>
      <c r="B503" s="6" t="s">
        <v>625</v>
      </c>
      <c r="C503" s="6" t="s">
        <v>1325</v>
      </c>
    </row>
    <row r="504" spans="1:3" x14ac:dyDescent="0.25">
      <c r="A504" s="6">
        <v>503</v>
      </c>
      <c r="B504" s="6" t="s">
        <v>548</v>
      </c>
      <c r="C504" s="6" t="s">
        <v>1248</v>
      </c>
    </row>
    <row r="505" spans="1:3" x14ac:dyDescent="0.25">
      <c r="A505" s="6">
        <v>504</v>
      </c>
      <c r="B505" s="6" t="s">
        <v>425</v>
      </c>
      <c r="C505" s="6" t="s">
        <v>1125</v>
      </c>
    </row>
    <row r="506" spans="1:3" x14ac:dyDescent="0.25">
      <c r="A506" s="6">
        <v>505</v>
      </c>
      <c r="B506" s="6" t="s">
        <v>404</v>
      </c>
      <c r="C506" s="6" t="s">
        <v>1104</v>
      </c>
    </row>
    <row r="507" spans="1:3" x14ac:dyDescent="0.25">
      <c r="A507" s="6">
        <v>506</v>
      </c>
      <c r="B507" s="6" t="s">
        <v>450</v>
      </c>
      <c r="C507" s="6" t="s">
        <v>1150</v>
      </c>
    </row>
    <row r="508" spans="1:3" x14ac:dyDescent="0.25">
      <c r="A508" s="6">
        <v>507</v>
      </c>
      <c r="B508" s="6" t="s">
        <v>607</v>
      </c>
      <c r="C508" s="6" t="s">
        <v>1307</v>
      </c>
    </row>
    <row r="509" spans="1:3" x14ac:dyDescent="0.25">
      <c r="A509" s="6">
        <v>508</v>
      </c>
      <c r="B509" s="6" t="s">
        <v>597</v>
      </c>
      <c r="C509" s="6" t="s">
        <v>1297</v>
      </c>
    </row>
    <row r="510" spans="1:3" x14ac:dyDescent="0.25">
      <c r="A510" s="6">
        <v>509</v>
      </c>
      <c r="B510" s="6" t="s">
        <v>460</v>
      </c>
      <c r="C510" s="6" t="s">
        <v>1160</v>
      </c>
    </row>
    <row r="511" spans="1:3" x14ac:dyDescent="0.25">
      <c r="A511" s="6">
        <v>510</v>
      </c>
      <c r="B511" s="6" t="s">
        <v>414</v>
      </c>
      <c r="C511" s="6" t="s">
        <v>1114</v>
      </c>
    </row>
    <row r="512" spans="1:3" x14ac:dyDescent="0.25">
      <c r="A512" s="6">
        <v>511</v>
      </c>
      <c r="B512" s="6" t="s">
        <v>682</v>
      </c>
      <c r="C512" s="6" t="s">
        <v>1382</v>
      </c>
    </row>
    <row r="513" spans="1:3" x14ac:dyDescent="0.25">
      <c r="A513" s="6">
        <v>512</v>
      </c>
      <c r="B513" s="6" t="s">
        <v>102</v>
      </c>
      <c r="C513" s="6" t="s">
        <v>802</v>
      </c>
    </row>
    <row r="514" spans="1:3" x14ac:dyDescent="0.25">
      <c r="A514" s="6">
        <v>513</v>
      </c>
      <c r="B514" s="6" t="s">
        <v>349</v>
      </c>
      <c r="C514" s="6" t="s">
        <v>1049</v>
      </c>
    </row>
    <row r="515" spans="1:3" x14ac:dyDescent="0.25">
      <c r="A515" s="6">
        <v>514</v>
      </c>
      <c r="B515" s="6" t="s">
        <v>103</v>
      </c>
      <c r="C515" s="6" t="s">
        <v>803</v>
      </c>
    </row>
    <row r="516" spans="1:3" x14ac:dyDescent="0.25">
      <c r="A516" s="6">
        <v>515</v>
      </c>
      <c r="B516" s="6" t="s">
        <v>393</v>
      </c>
      <c r="C516" s="6" t="s">
        <v>1093</v>
      </c>
    </row>
    <row r="517" spans="1:3" x14ac:dyDescent="0.25">
      <c r="A517" s="6">
        <v>516</v>
      </c>
      <c r="B517" s="6" t="s">
        <v>394</v>
      </c>
      <c r="C517" s="6" t="s">
        <v>1094</v>
      </c>
    </row>
    <row r="518" spans="1:3" x14ac:dyDescent="0.25">
      <c r="A518" s="6">
        <v>517</v>
      </c>
      <c r="B518" s="6" t="s">
        <v>427</v>
      </c>
      <c r="C518" s="6" t="s">
        <v>1127</v>
      </c>
    </row>
    <row r="519" spans="1:3" x14ac:dyDescent="0.25">
      <c r="A519" s="6">
        <v>518</v>
      </c>
      <c r="B519" s="6" t="s">
        <v>196</v>
      </c>
      <c r="C519" s="6" t="s">
        <v>896</v>
      </c>
    </row>
    <row r="520" spans="1:3" x14ac:dyDescent="0.25">
      <c r="A520" s="6">
        <v>519</v>
      </c>
      <c r="B520" s="6" t="s">
        <v>310</v>
      </c>
      <c r="C520" s="6" t="s">
        <v>1010</v>
      </c>
    </row>
    <row r="521" spans="1:3" x14ac:dyDescent="0.25">
      <c r="A521" s="6">
        <v>520</v>
      </c>
      <c r="B521" s="6" t="s">
        <v>273</v>
      </c>
      <c r="C521" s="6" t="s">
        <v>973</v>
      </c>
    </row>
    <row r="522" spans="1:3" x14ac:dyDescent="0.25">
      <c r="A522" s="6">
        <v>521</v>
      </c>
      <c r="B522" s="6" t="s">
        <v>97</v>
      </c>
      <c r="C522" s="6" t="s">
        <v>797</v>
      </c>
    </row>
    <row r="523" spans="1:3" x14ac:dyDescent="0.25">
      <c r="A523" s="6">
        <v>522</v>
      </c>
      <c r="B523" s="6" t="s">
        <v>612</v>
      </c>
      <c r="C523" s="6" t="s">
        <v>1312</v>
      </c>
    </row>
    <row r="524" spans="1:3" x14ac:dyDescent="0.25">
      <c r="A524" s="6">
        <v>523</v>
      </c>
      <c r="B524" s="6" t="s">
        <v>516</v>
      </c>
      <c r="C524" s="6" t="s">
        <v>1216</v>
      </c>
    </row>
    <row r="525" spans="1:3" x14ac:dyDescent="0.25">
      <c r="A525" s="6">
        <v>524</v>
      </c>
      <c r="B525" s="6" t="s">
        <v>474</v>
      </c>
      <c r="C525" s="6" t="s">
        <v>1174</v>
      </c>
    </row>
    <row r="526" spans="1:3" x14ac:dyDescent="0.25">
      <c r="A526" s="6">
        <v>525</v>
      </c>
      <c r="B526" s="6" t="s">
        <v>334</v>
      </c>
      <c r="C526" s="6" t="s">
        <v>1034</v>
      </c>
    </row>
    <row r="527" spans="1:3" x14ac:dyDescent="0.25">
      <c r="A527" s="6">
        <v>526</v>
      </c>
      <c r="B527" s="6" t="s">
        <v>294</v>
      </c>
      <c r="C527" s="6" t="s">
        <v>994</v>
      </c>
    </row>
    <row r="528" spans="1:3" x14ac:dyDescent="0.25">
      <c r="A528" s="6">
        <v>527</v>
      </c>
      <c r="B528" s="6" t="s">
        <v>96</v>
      </c>
      <c r="C528" s="6" t="s">
        <v>796</v>
      </c>
    </row>
    <row r="529" spans="1:3" x14ac:dyDescent="0.25">
      <c r="A529" s="6">
        <v>528</v>
      </c>
      <c r="B529" s="6" t="s">
        <v>107</v>
      </c>
      <c r="C529" s="6" t="s">
        <v>807</v>
      </c>
    </row>
    <row r="530" spans="1:3" x14ac:dyDescent="0.25">
      <c r="A530" s="6">
        <v>529</v>
      </c>
      <c r="B530" s="6" t="s">
        <v>511</v>
      </c>
      <c r="C530" s="6" t="s">
        <v>1211</v>
      </c>
    </row>
    <row r="531" spans="1:3" x14ac:dyDescent="0.25">
      <c r="A531" s="6">
        <v>530</v>
      </c>
      <c r="B531" s="6" t="s">
        <v>504</v>
      </c>
      <c r="C531" s="6" t="s">
        <v>1204</v>
      </c>
    </row>
    <row r="532" spans="1:3" x14ac:dyDescent="0.25">
      <c r="A532" s="6">
        <v>531</v>
      </c>
      <c r="B532" s="6" t="s">
        <v>566</v>
      </c>
      <c r="C532" s="6" t="s">
        <v>1266</v>
      </c>
    </row>
    <row r="533" spans="1:3" x14ac:dyDescent="0.25">
      <c r="A533" s="6">
        <v>532</v>
      </c>
      <c r="B533" s="6" t="s">
        <v>189</v>
      </c>
      <c r="C533" s="6" t="s">
        <v>889</v>
      </c>
    </row>
    <row r="534" spans="1:3" x14ac:dyDescent="0.25">
      <c r="A534" s="6">
        <v>533</v>
      </c>
      <c r="B534" s="6" t="s">
        <v>269</v>
      </c>
      <c r="C534" s="6" t="s">
        <v>969</v>
      </c>
    </row>
    <row r="535" spans="1:3" x14ac:dyDescent="0.25">
      <c r="A535" s="6">
        <v>534</v>
      </c>
      <c r="B535" s="6" t="s">
        <v>665</v>
      </c>
      <c r="C535" s="6" t="s">
        <v>1365</v>
      </c>
    </row>
    <row r="536" spans="1:3" x14ac:dyDescent="0.25">
      <c r="A536" s="6">
        <v>535</v>
      </c>
      <c r="B536" s="6" t="s">
        <v>677</v>
      </c>
      <c r="C536" s="6" t="s">
        <v>1377</v>
      </c>
    </row>
    <row r="537" spans="1:3" x14ac:dyDescent="0.25">
      <c r="A537" s="6">
        <v>536</v>
      </c>
      <c r="B537" s="6" t="s">
        <v>553</v>
      </c>
      <c r="C537" s="6" t="s">
        <v>1253</v>
      </c>
    </row>
    <row r="538" spans="1:3" x14ac:dyDescent="0.25">
      <c r="A538" s="6">
        <v>537</v>
      </c>
      <c r="B538" s="6" t="s">
        <v>590</v>
      </c>
      <c r="C538" s="6" t="s">
        <v>1290</v>
      </c>
    </row>
    <row r="539" spans="1:3" x14ac:dyDescent="0.25">
      <c r="A539" s="6">
        <v>538</v>
      </c>
      <c r="B539" s="6" t="s">
        <v>454</v>
      </c>
      <c r="C539" s="6" t="s">
        <v>1154</v>
      </c>
    </row>
    <row r="540" spans="1:3" x14ac:dyDescent="0.25">
      <c r="A540" s="6">
        <v>539</v>
      </c>
      <c r="B540" s="6" t="s">
        <v>286</v>
      </c>
      <c r="C540" s="6" t="s">
        <v>986</v>
      </c>
    </row>
    <row r="541" spans="1:3" x14ac:dyDescent="0.25">
      <c r="A541" s="6">
        <v>540</v>
      </c>
      <c r="B541" s="6" t="s">
        <v>168</v>
      </c>
      <c r="C541" s="6" t="s">
        <v>868</v>
      </c>
    </row>
    <row r="542" spans="1:3" x14ac:dyDescent="0.25">
      <c r="A542" s="6">
        <v>541</v>
      </c>
      <c r="B542" s="6" t="s">
        <v>146</v>
      </c>
      <c r="C542" s="6" t="s">
        <v>846</v>
      </c>
    </row>
    <row r="543" spans="1:3" x14ac:dyDescent="0.25">
      <c r="A543" s="6">
        <v>542</v>
      </c>
      <c r="B543" s="6" t="s">
        <v>365</v>
      </c>
      <c r="C543" s="6" t="s">
        <v>1065</v>
      </c>
    </row>
    <row r="544" spans="1:3" x14ac:dyDescent="0.25">
      <c r="A544" s="6">
        <v>543</v>
      </c>
      <c r="B544" s="6" t="s">
        <v>447</v>
      </c>
      <c r="C544" s="6" t="s">
        <v>1147</v>
      </c>
    </row>
    <row r="545" spans="1:3" x14ac:dyDescent="0.25">
      <c r="A545" s="6">
        <v>544</v>
      </c>
      <c r="B545" s="6" t="s">
        <v>582</v>
      </c>
      <c r="C545" s="6" t="s">
        <v>1282</v>
      </c>
    </row>
    <row r="546" spans="1:3" x14ac:dyDescent="0.25">
      <c r="A546" s="6">
        <v>545</v>
      </c>
      <c r="B546" s="6" t="s">
        <v>587</v>
      </c>
      <c r="C546" s="6" t="s">
        <v>1287</v>
      </c>
    </row>
    <row r="547" spans="1:3" x14ac:dyDescent="0.25">
      <c r="A547" s="6">
        <v>546</v>
      </c>
      <c r="B547" s="6" t="s">
        <v>701</v>
      </c>
      <c r="C547" s="6" t="s">
        <v>1401</v>
      </c>
    </row>
    <row r="548" spans="1:3" x14ac:dyDescent="0.25">
      <c r="A548" s="6">
        <v>547</v>
      </c>
      <c r="B548" s="6" t="s">
        <v>637</v>
      </c>
      <c r="C548" s="6" t="s">
        <v>1337</v>
      </c>
    </row>
    <row r="549" spans="1:3" x14ac:dyDescent="0.25">
      <c r="A549" s="6">
        <v>548</v>
      </c>
      <c r="B549" s="6" t="s">
        <v>195</v>
      </c>
      <c r="C549" s="6" t="s">
        <v>895</v>
      </c>
    </row>
    <row r="550" spans="1:3" x14ac:dyDescent="0.25">
      <c r="A550" s="6">
        <v>549</v>
      </c>
      <c r="B550" s="6" t="s">
        <v>559</v>
      </c>
      <c r="C550" s="6" t="s">
        <v>1259</v>
      </c>
    </row>
    <row r="551" spans="1:3" x14ac:dyDescent="0.25">
      <c r="A551" s="6">
        <v>550</v>
      </c>
      <c r="B551" s="6" t="s">
        <v>239</v>
      </c>
      <c r="C551" s="6" t="s">
        <v>939</v>
      </c>
    </row>
    <row r="552" spans="1:3" x14ac:dyDescent="0.25">
      <c r="A552" s="6">
        <v>551</v>
      </c>
      <c r="B552" s="6" t="s">
        <v>173</v>
      </c>
      <c r="C552" s="6" t="s">
        <v>873</v>
      </c>
    </row>
    <row r="553" spans="1:3" x14ac:dyDescent="0.25">
      <c r="A553" s="6">
        <v>552</v>
      </c>
      <c r="B553" s="6" t="s">
        <v>623</v>
      </c>
      <c r="C553" s="6" t="s">
        <v>1323</v>
      </c>
    </row>
    <row r="554" spans="1:3" x14ac:dyDescent="0.25">
      <c r="A554" s="6">
        <v>553</v>
      </c>
      <c r="B554" s="6" t="s">
        <v>577</v>
      </c>
      <c r="C554" s="6" t="s">
        <v>1277</v>
      </c>
    </row>
    <row r="555" spans="1:3" x14ac:dyDescent="0.25">
      <c r="A555" s="6">
        <v>554</v>
      </c>
      <c r="B555" s="6" t="s">
        <v>618</v>
      </c>
      <c r="C555" s="6" t="s">
        <v>1318</v>
      </c>
    </row>
    <row r="556" spans="1:3" x14ac:dyDescent="0.25">
      <c r="A556" s="6">
        <v>555</v>
      </c>
      <c r="B556" s="6" t="s">
        <v>335</v>
      </c>
      <c r="C556" s="6" t="s">
        <v>1035</v>
      </c>
    </row>
    <row r="557" spans="1:3" x14ac:dyDescent="0.25">
      <c r="A557" s="6">
        <v>556</v>
      </c>
      <c r="B557" s="6" t="s">
        <v>296</v>
      </c>
      <c r="C557" s="6" t="s">
        <v>996</v>
      </c>
    </row>
    <row r="558" spans="1:3" x14ac:dyDescent="0.25">
      <c r="A558" s="6">
        <v>557</v>
      </c>
      <c r="B558" s="6" t="s">
        <v>441</v>
      </c>
      <c r="C558" s="6" t="s">
        <v>1141</v>
      </c>
    </row>
    <row r="559" spans="1:3" x14ac:dyDescent="0.25">
      <c r="A559" s="6">
        <v>558</v>
      </c>
      <c r="B559" s="6" t="s">
        <v>106</v>
      </c>
      <c r="C559" s="6" t="s">
        <v>806</v>
      </c>
    </row>
    <row r="560" spans="1:3" x14ac:dyDescent="0.25">
      <c r="A560" s="6">
        <v>559</v>
      </c>
      <c r="B560" s="6" t="s">
        <v>415</v>
      </c>
      <c r="C560" s="6" t="s">
        <v>1115</v>
      </c>
    </row>
    <row r="561" spans="1:3" x14ac:dyDescent="0.25">
      <c r="A561" s="6">
        <v>560</v>
      </c>
      <c r="B561" s="6" t="s">
        <v>232</v>
      </c>
      <c r="C561" s="6" t="s">
        <v>932</v>
      </c>
    </row>
    <row r="562" spans="1:3" x14ac:dyDescent="0.25">
      <c r="A562" s="6">
        <v>561</v>
      </c>
      <c r="B562" s="6" t="s">
        <v>137</v>
      </c>
      <c r="C562" s="6" t="s">
        <v>837</v>
      </c>
    </row>
    <row r="563" spans="1:3" x14ac:dyDescent="0.25">
      <c r="A563" s="6">
        <v>562</v>
      </c>
      <c r="B563" s="6" t="s">
        <v>630</v>
      </c>
      <c r="C563" s="6" t="s">
        <v>1330</v>
      </c>
    </row>
    <row r="564" spans="1:3" x14ac:dyDescent="0.25">
      <c r="A564" s="6">
        <v>563</v>
      </c>
      <c r="B564" s="6" t="s">
        <v>536</v>
      </c>
      <c r="C564" s="6" t="s">
        <v>1236</v>
      </c>
    </row>
    <row r="565" spans="1:3" x14ac:dyDescent="0.25">
      <c r="A565" s="6">
        <v>564</v>
      </c>
      <c r="B565" s="6" t="s">
        <v>125</v>
      </c>
      <c r="C565" s="6" t="s">
        <v>825</v>
      </c>
    </row>
    <row r="566" spans="1:3" x14ac:dyDescent="0.25">
      <c r="A566" s="6">
        <v>565</v>
      </c>
      <c r="B566" s="6" t="s">
        <v>185</v>
      </c>
      <c r="C566" s="6" t="s">
        <v>885</v>
      </c>
    </row>
    <row r="567" spans="1:3" x14ac:dyDescent="0.25">
      <c r="A567" s="6">
        <v>566</v>
      </c>
      <c r="B567" s="6" t="s">
        <v>576</v>
      </c>
      <c r="C567" s="6" t="s">
        <v>1276</v>
      </c>
    </row>
    <row r="568" spans="1:3" x14ac:dyDescent="0.25">
      <c r="A568" s="6">
        <v>567</v>
      </c>
      <c r="B568" s="6" t="s">
        <v>471</v>
      </c>
      <c r="C568" s="6" t="s">
        <v>1171</v>
      </c>
    </row>
    <row r="569" spans="1:3" x14ac:dyDescent="0.25">
      <c r="A569" s="6">
        <v>568</v>
      </c>
      <c r="B569" s="6" t="s">
        <v>457</v>
      </c>
      <c r="C569" s="6" t="s">
        <v>1157</v>
      </c>
    </row>
    <row r="570" spans="1:3" x14ac:dyDescent="0.25">
      <c r="A570" s="6">
        <v>569</v>
      </c>
      <c r="B570" s="6" t="s">
        <v>664</v>
      </c>
      <c r="C570" s="6" t="s">
        <v>1364</v>
      </c>
    </row>
    <row r="571" spans="1:3" x14ac:dyDescent="0.25">
      <c r="A571" s="6">
        <v>570</v>
      </c>
      <c r="B571" s="6" t="s">
        <v>352</v>
      </c>
      <c r="C571" s="6" t="s">
        <v>1052</v>
      </c>
    </row>
    <row r="572" spans="1:3" x14ac:dyDescent="0.25">
      <c r="A572" s="6">
        <v>571</v>
      </c>
      <c r="B572" s="6" t="s">
        <v>697</v>
      </c>
      <c r="C572" s="6" t="s">
        <v>1397</v>
      </c>
    </row>
    <row r="573" spans="1:3" x14ac:dyDescent="0.25">
      <c r="A573" s="6">
        <v>572</v>
      </c>
      <c r="B573" s="6" t="s">
        <v>376</v>
      </c>
      <c r="C573" s="6" t="s">
        <v>1076</v>
      </c>
    </row>
    <row r="574" spans="1:3" x14ac:dyDescent="0.25">
      <c r="A574" s="6">
        <v>573</v>
      </c>
      <c r="B574" s="6" t="s">
        <v>375</v>
      </c>
      <c r="C574" s="6" t="s">
        <v>1075</v>
      </c>
    </row>
    <row r="575" spans="1:3" x14ac:dyDescent="0.25">
      <c r="A575" s="6">
        <v>574</v>
      </c>
      <c r="B575" s="6" t="s">
        <v>689</v>
      </c>
      <c r="C575" s="6" t="s">
        <v>1389</v>
      </c>
    </row>
    <row r="576" spans="1:3" x14ac:dyDescent="0.25">
      <c r="A576" s="6">
        <v>575</v>
      </c>
      <c r="B576" s="6" t="s">
        <v>678</v>
      </c>
      <c r="C576" s="6" t="s">
        <v>1378</v>
      </c>
    </row>
    <row r="577" spans="1:3" x14ac:dyDescent="0.25">
      <c r="A577" s="6">
        <v>576</v>
      </c>
      <c r="B577" s="6" t="s">
        <v>84</v>
      </c>
      <c r="C577" s="6" t="s">
        <v>784</v>
      </c>
    </row>
    <row r="578" spans="1:3" x14ac:dyDescent="0.25">
      <c r="A578" s="6">
        <v>577</v>
      </c>
      <c r="B578" s="6" t="s">
        <v>177</v>
      </c>
      <c r="C578" s="6" t="s">
        <v>877</v>
      </c>
    </row>
    <row r="579" spans="1:3" x14ac:dyDescent="0.25">
      <c r="A579" s="6">
        <v>578</v>
      </c>
      <c r="B579" s="6" t="s">
        <v>248</v>
      </c>
      <c r="C579" s="6" t="s">
        <v>948</v>
      </c>
    </row>
    <row r="580" spans="1:3" x14ac:dyDescent="0.25">
      <c r="A580" s="6">
        <v>579</v>
      </c>
      <c r="B580" s="6" t="s">
        <v>626</v>
      </c>
      <c r="C580" s="6" t="s">
        <v>1326</v>
      </c>
    </row>
    <row r="581" spans="1:3" x14ac:dyDescent="0.25">
      <c r="A581" s="6">
        <v>580</v>
      </c>
      <c r="B581" s="6" t="s">
        <v>36</v>
      </c>
      <c r="C581" s="6" t="s">
        <v>736</v>
      </c>
    </row>
    <row r="582" spans="1:3" x14ac:dyDescent="0.25">
      <c r="A582" s="6">
        <v>581</v>
      </c>
      <c r="B582" s="6" t="s">
        <v>37</v>
      </c>
      <c r="C582" s="6" t="s">
        <v>737</v>
      </c>
    </row>
    <row r="583" spans="1:3" x14ac:dyDescent="0.25">
      <c r="A583" s="6">
        <v>582</v>
      </c>
      <c r="B583" s="6" t="s">
        <v>690</v>
      </c>
      <c r="C583" s="6" t="s">
        <v>1390</v>
      </c>
    </row>
    <row r="584" spans="1:3" x14ac:dyDescent="0.25">
      <c r="A584" s="6">
        <v>583</v>
      </c>
      <c r="B584" s="6" t="s">
        <v>395</v>
      </c>
      <c r="C584" s="6" t="s">
        <v>1095</v>
      </c>
    </row>
    <row r="585" spans="1:3" x14ac:dyDescent="0.25">
      <c r="A585" s="6">
        <v>584</v>
      </c>
      <c r="B585" s="6" t="s">
        <v>428</v>
      </c>
      <c r="C585" s="6" t="s">
        <v>1128</v>
      </c>
    </row>
    <row r="586" spans="1:3" x14ac:dyDescent="0.25">
      <c r="A586" s="6">
        <v>585</v>
      </c>
      <c r="B586" s="6" t="s">
        <v>255</v>
      </c>
      <c r="C586" s="6" t="s">
        <v>955</v>
      </c>
    </row>
    <row r="587" spans="1:3" x14ac:dyDescent="0.25">
      <c r="A587" s="6">
        <v>586</v>
      </c>
      <c r="B587" s="6" t="s">
        <v>208</v>
      </c>
      <c r="C587" s="6" t="s">
        <v>908</v>
      </c>
    </row>
    <row r="588" spans="1:3" x14ac:dyDescent="0.25">
      <c r="A588" s="6">
        <v>587</v>
      </c>
      <c r="B588" s="6" t="s">
        <v>699</v>
      </c>
      <c r="C588" s="6" t="s">
        <v>1399</v>
      </c>
    </row>
    <row r="589" spans="1:3" x14ac:dyDescent="0.25">
      <c r="A589" s="6">
        <v>588</v>
      </c>
      <c r="B589" s="6" t="s">
        <v>494</v>
      </c>
      <c r="C589" s="6" t="s">
        <v>1194</v>
      </c>
    </row>
    <row r="590" spans="1:3" x14ac:dyDescent="0.25">
      <c r="A590" s="6">
        <v>589</v>
      </c>
      <c r="B590" s="6" t="s">
        <v>317</v>
      </c>
      <c r="C590" s="6" t="s">
        <v>1017</v>
      </c>
    </row>
    <row r="591" spans="1:3" x14ac:dyDescent="0.25">
      <c r="A591" s="6">
        <v>590</v>
      </c>
      <c r="B591" s="6" t="s">
        <v>458</v>
      </c>
      <c r="C591" s="6" t="s">
        <v>1158</v>
      </c>
    </row>
    <row r="592" spans="1:3" x14ac:dyDescent="0.25">
      <c r="A592" s="6">
        <v>591</v>
      </c>
      <c r="B592" s="6" t="s">
        <v>271</v>
      </c>
      <c r="C592" s="6" t="s">
        <v>971</v>
      </c>
    </row>
    <row r="593" spans="1:3" x14ac:dyDescent="0.25">
      <c r="A593" s="6">
        <v>592</v>
      </c>
      <c r="B593" s="6" t="s">
        <v>109</v>
      </c>
      <c r="C593" s="6" t="s">
        <v>809</v>
      </c>
    </row>
    <row r="594" spans="1:3" x14ac:dyDescent="0.25">
      <c r="A594" s="6">
        <v>593</v>
      </c>
      <c r="B594" s="6" t="s">
        <v>110</v>
      </c>
      <c r="C594" s="6" t="s">
        <v>810</v>
      </c>
    </row>
    <row r="595" spans="1:3" x14ac:dyDescent="0.25">
      <c r="A595" s="6">
        <v>594</v>
      </c>
      <c r="B595" s="6" t="s">
        <v>237</v>
      </c>
      <c r="C595" s="6" t="s">
        <v>937</v>
      </c>
    </row>
    <row r="596" spans="1:3" x14ac:dyDescent="0.25">
      <c r="A596" s="6">
        <v>595</v>
      </c>
      <c r="B596" s="6" t="s">
        <v>420</v>
      </c>
      <c r="C596" s="6" t="s">
        <v>1120</v>
      </c>
    </row>
    <row r="597" spans="1:3" x14ac:dyDescent="0.25">
      <c r="A597" s="6">
        <v>596</v>
      </c>
      <c r="B597" s="6" t="s">
        <v>229</v>
      </c>
      <c r="C597" s="6" t="s">
        <v>929</v>
      </c>
    </row>
    <row r="598" spans="1:3" x14ac:dyDescent="0.25">
      <c r="A598" s="6">
        <v>597</v>
      </c>
      <c r="B598" s="6" t="s">
        <v>111</v>
      </c>
      <c r="C598" s="6" t="s">
        <v>811</v>
      </c>
    </row>
    <row r="599" spans="1:3" x14ac:dyDescent="0.25">
      <c r="A599" s="6">
        <v>598</v>
      </c>
      <c r="B599" s="6" t="s">
        <v>100</v>
      </c>
      <c r="C599" s="6" t="s">
        <v>800</v>
      </c>
    </row>
    <row r="600" spans="1:3" x14ac:dyDescent="0.25">
      <c r="A600" s="6">
        <v>599</v>
      </c>
      <c r="B600" s="6" t="s">
        <v>332</v>
      </c>
      <c r="C600" s="6" t="s">
        <v>1032</v>
      </c>
    </row>
    <row r="601" spans="1:3" x14ac:dyDescent="0.25">
      <c r="A601" s="6">
        <v>600</v>
      </c>
      <c r="B601" s="6" t="s">
        <v>700</v>
      </c>
      <c r="C601" s="6" t="s">
        <v>1400</v>
      </c>
    </row>
    <row r="602" spans="1:3" x14ac:dyDescent="0.25">
      <c r="A602" s="6">
        <v>601</v>
      </c>
      <c r="B602" s="6" t="s">
        <v>448</v>
      </c>
      <c r="C602" s="6" t="s">
        <v>1148</v>
      </c>
    </row>
    <row r="603" spans="1:3" x14ac:dyDescent="0.25">
      <c r="A603" s="6">
        <v>602</v>
      </c>
      <c r="B603" s="6" t="s">
        <v>176</v>
      </c>
      <c r="C603" s="6" t="s">
        <v>876</v>
      </c>
    </row>
    <row r="604" spans="1:3" x14ac:dyDescent="0.25">
      <c r="A604" s="6">
        <v>603</v>
      </c>
      <c r="B604" s="6" t="s">
        <v>112</v>
      </c>
      <c r="C604" s="6" t="s">
        <v>812</v>
      </c>
    </row>
    <row r="605" spans="1:3" x14ac:dyDescent="0.25">
      <c r="A605" s="6">
        <v>604</v>
      </c>
      <c r="B605" s="6" t="s">
        <v>261</v>
      </c>
      <c r="C605" s="6" t="s">
        <v>961</v>
      </c>
    </row>
    <row r="606" spans="1:3" x14ac:dyDescent="0.25">
      <c r="A606" s="6">
        <v>605</v>
      </c>
      <c r="B606" s="6" t="s">
        <v>584</v>
      </c>
      <c r="C606" s="6" t="s">
        <v>1284</v>
      </c>
    </row>
    <row r="607" spans="1:3" x14ac:dyDescent="0.25">
      <c r="A607" s="6">
        <v>606</v>
      </c>
      <c r="B607" s="6" t="s">
        <v>398</v>
      </c>
      <c r="C607" s="6" t="s">
        <v>1098</v>
      </c>
    </row>
    <row r="608" spans="1:3" x14ac:dyDescent="0.25">
      <c r="A608" s="6">
        <v>607</v>
      </c>
      <c r="B608" s="6" t="s">
        <v>499</v>
      </c>
      <c r="C608" s="6" t="s">
        <v>1199</v>
      </c>
    </row>
    <row r="609" spans="1:3" x14ac:dyDescent="0.25">
      <c r="A609" s="6">
        <v>608</v>
      </c>
      <c r="B609" s="6" t="s">
        <v>348</v>
      </c>
      <c r="C609" s="6" t="s">
        <v>1048</v>
      </c>
    </row>
    <row r="610" spans="1:3" x14ac:dyDescent="0.25">
      <c r="A610" s="6">
        <v>609</v>
      </c>
      <c r="B610" s="6" t="s">
        <v>264</v>
      </c>
      <c r="C610" s="6" t="s">
        <v>964</v>
      </c>
    </row>
    <row r="611" spans="1:3" x14ac:dyDescent="0.25">
      <c r="A611" s="6">
        <v>610</v>
      </c>
      <c r="B611" s="6" t="s">
        <v>152</v>
      </c>
      <c r="C611" s="6" t="s">
        <v>852</v>
      </c>
    </row>
    <row r="612" spans="1:3" x14ac:dyDescent="0.25">
      <c r="A612" s="6">
        <v>611</v>
      </c>
      <c r="B612" s="6" t="s">
        <v>384</v>
      </c>
      <c r="C612" s="6" t="s">
        <v>1084</v>
      </c>
    </row>
    <row r="613" spans="1:3" x14ac:dyDescent="0.25">
      <c r="A613" s="6">
        <v>612</v>
      </c>
      <c r="B613" s="6" t="s">
        <v>128</v>
      </c>
      <c r="C613" s="6" t="s">
        <v>828</v>
      </c>
    </row>
    <row r="614" spans="1:3" x14ac:dyDescent="0.25">
      <c r="A614" s="6">
        <v>613</v>
      </c>
      <c r="B614" s="6" t="s">
        <v>432</v>
      </c>
      <c r="C614" s="6" t="s">
        <v>1132</v>
      </c>
    </row>
    <row r="615" spans="1:3" x14ac:dyDescent="0.25">
      <c r="A615" s="6">
        <v>614</v>
      </c>
      <c r="B615" s="6" t="s">
        <v>154</v>
      </c>
      <c r="C615" s="6" t="s">
        <v>854</v>
      </c>
    </row>
    <row r="616" spans="1:3" x14ac:dyDescent="0.25">
      <c r="A616" s="6">
        <v>615</v>
      </c>
      <c r="B616" s="6" t="s">
        <v>113</v>
      </c>
      <c r="C616" s="6" t="s">
        <v>813</v>
      </c>
    </row>
    <row r="617" spans="1:3" x14ac:dyDescent="0.25">
      <c r="A617" s="6">
        <v>616</v>
      </c>
      <c r="B617" s="6" t="s">
        <v>165</v>
      </c>
      <c r="C617" s="6" t="s">
        <v>865</v>
      </c>
    </row>
    <row r="618" spans="1:3" x14ac:dyDescent="0.25">
      <c r="A618" s="6">
        <v>617</v>
      </c>
      <c r="B618" s="6" t="s">
        <v>246</v>
      </c>
      <c r="C618" s="6" t="s">
        <v>946</v>
      </c>
    </row>
    <row r="619" spans="1:3" x14ac:dyDescent="0.25">
      <c r="A619" s="6">
        <v>618</v>
      </c>
      <c r="B619" s="6" t="s">
        <v>703</v>
      </c>
      <c r="C619" s="6" t="s">
        <v>1403</v>
      </c>
    </row>
    <row r="620" spans="1:3" x14ac:dyDescent="0.25">
      <c r="A620" s="6">
        <v>619</v>
      </c>
      <c r="B620" s="6" t="s">
        <v>138</v>
      </c>
      <c r="C620" s="6" t="s">
        <v>838</v>
      </c>
    </row>
    <row r="621" spans="1:3" x14ac:dyDescent="0.25">
      <c r="A621" s="6">
        <v>620</v>
      </c>
      <c r="B621" s="6" t="s">
        <v>108</v>
      </c>
      <c r="C621" s="6" t="s">
        <v>808</v>
      </c>
    </row>
    <row r="622" spans="1:3" x14ac:dyDescent="0.25">
      <c r="A622" s="6">
        <v>621</v>
      </c>
      <c r="B622" s="6" t="s">
        <v>242</v>
      </c>
      <c r="C622" s="6" t="s">
        <v>942</v>
      </c>
    </row>
    <row r="623" spans="1:3" x14ac:dyDescent="0.25">
      <c r="A623" s="6">
        <v>622</v>
      </c>
      <c r="B623" s="6" t="s">
        <v>124</v>
      </c>
      <c r="C623" s="6" t="s">
        <v>824</v>
      </c>
    </row>
    <row r="624" spans="1:3" x14ac:dyDescent="0.25">
      <c r="A624" s="6">
        <v>623</v>
      </c>
      <c r="B624" s="6" t="s">
        <v>619</v>
      </c>
      <c r="C624" s="6" t="s">
        <v>1319</v>
      </c>
    </row>
    <row r="625" spans="1:3" x14ac:dyDescent="0.25">
      <c r="A625" s="6">
        <v>624</v>
      </c>
      <c r="B625" s="6" t="s">
        <v>668</v>
      </c>
      <c r="C625" s="6" t="s">
        <v>1368</v>
      </c>
    </row>
    <row r="626" spans="1:3" x14ac:dyDescent="0.25">
      <c r="A626" s="6">
        <v>625</v>
      </c>
      <c r="B626" s="6" t="s">
        <v>596</v>
      </c>
      <c r="C626" s="6" t="s">
        <v>1296</v>
      </c>
    </row>
    <row r="627" spans="1:3" x14ac:dyDescent="0.25">
      <c r="A627" s="6">
        <v>626</v>
      </c>
      <c r="B627" s="6" t="s">
        <v>463</v>
      </c>
      <c r="C627" s="6" t="s">
        <v>1163</v>
      </c>
    </row>
    <row r="628" spans="1:3" x14ac:dyDescent="0.25">
      <c r="A628" s="6">
        <v>627</v>
      </c>
      <c r="B628" s="6" t="s">
        <v>675</v>
      </c>
      <c r="C628" s="6" t="s">
        <v>1375</v>
      </c>
    </row>
    <row r="629" spans="1:3" x14ac:dyDescent="0.25">
      <c r="A629" s="6">
        <v>628</v>
      </c>
      <c r="B629" s="6" t="s">
        <v>627</v>
      </c>
      <c r="C629" s="6" t="s">
        <v>1327</v>
      </c>
    </row>
    <row r="630" spans="1:3" x14ac:dyDescent="0.25">
      <c r="A630" s="6">
        <v>629</v>
      </c>
      <c r="B630" s="6" t="s">
        <v>547</v>
      </c>
      <c r="C630" s="6" t="s">
        <v>1247</v>
      </c>
    </row>
    <row r="631" spans="1:3" x14ac:dyDescent="0.25">
      <c r="A631" s="6">
        <v>630</v>
      </c>
      <c r="B631" s="6" t="s">
        <v>646</v>
      </c>
      <c r="C631" s="6" t="s">
        <v>1346</v>
      </c>
    </row>
    <row r="632" spans="1:3" x14ac:dyDescent="0.25">
      <c r="A632" s="6">
        <v>631</v>
      </c>
      <c r="B632" s="6" t="s">
        <v>175</v>
      </c>
      <c r="C632" s="6" t="s">
        <v>875</v>
      </c>
    </row>
    <row r="633" spans="1:3" x14ac:dyDescent="0.25">
      <c r="A633" s="6">
        <v>632</v>
      </c>
      <c r="B633" s="6" t="s">
        <v>80</v>
      </c>
      <c r="C633" s="6" t="s">
        <v>780</v>
      </c>
    </row>
    <row r="634" spans="1:3" x14ac:dyDescent="0.25">
      <c r="A634" s="6">
        <v>633</v>
      </c>
      <c r="B634" s="6" t="s">
        <v>115</v>
      </c>
      <c r="C634" s="6" t="s">
        <v>815</v>
      </c>
    </row>
    <row r="635" spans="1:3" x14ac:dyDescent="0.25">
      <c r="A635" s="6">
        <v>634</v>
      </c>
      <c r="B635" s="6" t="s">
        <v>116</v>
      </c>
      <c r="C635" s="6" t="s">
        <v>816</v>
      </c>
    </row>
    <row r="636" spans="1:3" x14ac:dyDescent="0.25">
      <c r="A636" s="6">
        <v>635</v>
      </c>
      <c r="B636" s="6" t="s">
        <v>117</v>
      </c>
      <c r="C636" s="6" t="s">
        <v>817</v>
      </c>
    </row>
    <row r="637" spans="1:3" x14ac:dyDescent="0.25">
      <c r="A637" s="6">
        <v>636</v>
      </c>
      <c r="B637" s="6" t="s">
        <v>601</v>
      </c>
      <c r="C637" s="6" t="s">
        <v>1301</v>
      </c>
    </row>
    <row r="638" spans="1:3" x14ac:dyDescent="0.25">
      <c r="A638" s="6">
        <v>637</v>
      </c>
      <c r="B638" s="6" t="s">
        <v>490</v>
      </c>
      <c r="C638" s="6" t="s">
        <v>1190</v>
      </c>
    </row>
    <row r="639" spans="1:3" x14ac:dyDescent="0.25">
      <c r="A639" s="6">
        <v>638</v>
      </c>
      <c r="B639" s="6" t="s">
        <v>280</v>
      </c>
      <c r="C639" s="6" t="s">
        <v>980</v>
      </c>
    </row>
    <row r="640" spans="1:3" x14ac:dyDescent="0.25">
      <c r="A640" s="6">
        <v>639</v>
      </c>
      <c r="B640" s="6" t="s">
        <v>182</v>
      </c>
      <c r="C640" s="6" t="s">
        <v>882</v>
      </c>
    </row>
    <row r="641" spans="1:3" x14ac:dyDescent="0.25">
      <c r="A641" s="6">
        <v>640</v>
      </c>
      <c r="B641" s="6" t="s">
        <v>517</v>
      </c>
      <c r="C641" s="6" t="s">
        <v>1217</v>
      </c>
    </row>
    <row r="642" spans="1:3" x14ac:dyDescent="0.25">
      <c r="A642" s="6">
        <v>641</v>
      </c>
      <c r="B642" s="6" t="s">
        <v>38</v>
      </c>
      <c r="C642" s="6" t="s">
        <v>738</v>
      </c>
    </row>
    <row r="643" spans="1:3" x14ac:dyDescent="0.25">
      <c r="A643" s="6">
        <v>642</v>
      </c>
      <c r="B643" s="6" t="s">
        <v>118</v>
      </c>
      <c r="C643" s="6" t="s">
        <v>818</v>
      </c>
    </row>
    <row r="644" spans="1:3" x14ac:dyDescent="0.25">
      <c r="A644" s="6">
        <v>643</v>
      </c>
      <c r="B644" s="6" t="s">
        <v>469</v>
      </c>
      <c r="C644" s="6" t="s">
        <v>1169</v>
      </c>
    </row>
    <row r="645" spans="1:3" x14ac:dyDescent="0.25">
      <c r="A645" s="6">
        <v>644</v>
      </c>
      <c r="B645" s="6" t="s">
        <v>391</v>
      </c>
      <c r="C645" s="6" t="s">
        <v>1091</v>
      </c>
    </row>
    <row r="646" spans="1:3" x14ac:dyDescent="0.25">
      <c r="A646" s="6">
        <v>645</v>
      </c>
      <c r="B646" s="6" t="s">
        <v>76</v>
      </c>
      <c r="C646" s="6" t="s">
        <v>776</v>
      </c>
    </row>
    <row r="647" spans="1:3" x14ac:dyDescent="0.25">
      <c r="A647" s="6">
        <v>646</v>
      </c>
      <c r="B647" s="6" t="s">
        <v>276</v>
      </c>
      <c r="C647" s="6" t="s">
        <v>976</v>
      </c>
    </row>
    <row r="648" spans="1:3" x14ac:dyDescent="0.25">
      <c r="A648" s="6">
        <v>647</v>
      </c>
      <c r="B648" s="6" t="s">
        <v>392</v>
      </c>
      <c r="C648" s="6" t="s">
        <v>1092</v>
      </c>
    </row>
    <row r="649" spans="1:3" x14ac:dyDescent="0.25">
      <c r="A649" s="6">
        <v>648</v>
      </c>
      <c r="B649" s="6" t="s">
        <v>555</v>
      </c>
      <c r="C649" s="6" t="s">
        <v>1255</v>
      </c>
    </row>
    <row r="650" spans="1:3" x14ac:dyDescent="0.25">
      <c r="A650" s="6">
        <v>649</v>
      </c>
      <c r="B650" s="6" t="s">
        <v>262</v>
      </c>
      <c r="C650" s="6" t="s">
        <v>962</v>
      </c>
    </row>
    <row r="651" spans="1:3" x14ac:dyDescent="0.25">
      <c r="A651" s="6">
        <v>650</v>
      </c>
      <c r="B651" s="6" t="s">
        <v>643</v>
      </c>
      <c r="C651" s="6" t="s">
        <v>1343</v>
      </c>
    </row>
    <row r="652" spans="1:3" x14ac:dyDescent="0.25">
      <c r="A652" s="6">
        <v>651</v>
      </c>
      <c r="B652" s="6" t="s">
        <v>422</v>
      </c>
      <c r="C652" s="6" t="s">
        <v>1122</v>
      </c>
    </row>
    <row r="653" spans="1:3" x14ac:dyDescent="0.25">
      <c r="A653" s="6">
        <v>652</v>
      </c>
      <c r="B653" s="6" t="s">
        <v>473</v>
      </c>
      <c r="C653" s="6" t="s">
        <v>1173</v>
      </c>
    </row>
    <row r="654" spans="1:3" x14ac:dyDescent="0.25">
      <c r="A654" s="6">
        <v>653</v>
      </c>
      <c r="B654" s="6" t="s">
        <v>389</v>
      </c>
      <c r="C654" s="6" t="s">
        <v>1089</v>
      </c>
    </row>
    <row r="655" spans="1:3" x14ac:dyDescent="0.25">
      <c r="A655" s="6">
        <v>654</v>
      </c>
      <c r="B655" s="6" t="s">
        <v>221</v>
      </c>
      <c r="C655" s="6" t="s">
        <v>921</v>
      </c>
    </row>
    <row r="656" spans="1:3" x14ac:dyDescent="0.25">
      <c r="A656" s="6">
        <v>655</v>
      </c>
      <c r="B656" s="6" t="s">
        <v>418</v>
      </c>
      <c r="C656" s="6" t="s">
        <v>1118</v>
      </c>
    </row>
    <row r="657" spans="1:3" x14ac:dyDescent="0.25">
      <c r="A657" s="6">
        <v>656</v>
      </c>
      <c r="B657" s="6" t="s">
        <v>48</v>
      </c>
      <c r="C657" s="6" t="s">
        <v>748</v>
      </c>
    </row>
    <row r="658" spans="1:3" x14ac:dyDescent="0.25">
      <c r="A658" s="6">
        <v>657</v>
      </c>
      <c r="B658" s="6" t="s">
        <v>602</v>
      </c>
      <c r="C658" s="6" t="s">
        <v>1302</v>
      </c>
    </row>
    <row r="659" spans="1:3" x14ac:dyDescent="0.25">
      <c r="A659" s="6">
        <v>658</v>
      </c>
      <c r="B659" s="6" t="s">
        <v>696</v>
      </c>
      <c r="C659" s="6" t="s">
        <v>1396</v>
      </c>
    </row>
    <row r="660" spans="1:3" x14ac:dyDescent="0.25">
      <c r="A660" s="6">
        <v>659</v>
      </c>
      <c r="B660" s="6" t="s">
        <v>430</v>
      </c>
      <c r="C660" s="6" t="s">
        <v>1130</v>
      </c>
    </row>
    <row r="661" spans="1:3" x14ac:dyDescent="0.25">
      <c r="A661" s="6">
        <v>660</v>
      </c>
      <c r="B661" s="6" t="s">
        <v>209</v>
      </c>
      <c r="C661" s="6" t="s">
        <v>909</v>
      </c>
    </row>
    <row r="662" spans="1:3" x14ac:dyDescent="0.25">
      <c r="A662" s="6">
        <v>661</v>
      </c>
      <c r="B662" s="6" t="s">
        <v>408</v>
      </c>
      <c r="C662" s="6" t="s">
        <v>1108</v>
      </c>
    </row>
    <row r="663" spans="1:3" x14ac:dyDescent="0.25">
      <c r="A663" s="6">
        <v>662</v>
      </c>
      <c r="B663" s="6" t="s">
        <v>409</v>
      </c>
      <c r="C663" s="6" t="s">
        <v>1109</v>
      </c>
    </row>
    <row r="664" spans="1:3" x14ac:dyDescent="0.25">
      <c r="A664" s="6">
        <v>663</v>
      </c>
      <c r="B664" s="6" t="s">
        <v>236</v>
      </c>
      <c r="C664" s="6" t="s">
        <v>936</v>
      </c>
    </row>
    <row r="665" spans="1:3" x14ac:dyDescent="0.25">
      <c r="A665" s="6">
        <v>664</v>
      </c>
      <c r="B665" s="6" t="s">
        <v>254</v>
      </c>
      <c r="C665" s="6" t="s">
        <v>954</v>
      </c>
    </row>
    <row r="666" spans="1:3" x14ac:dyDescent="0.25">
      <c r="A666" s="6">
        <v>665</v>
      </c>
      <c r="B666" s="6" t="s">
        <v>216</v>
      </c>
      <c r="C666" s="6" t="s">
        <v>916</v>
      </c>
    </row>
    <row r="667" spans="1:3" x14ac:dyDescent="0.25">
      <c r="A667" s="6">
        <v>666</v>
      </c>
      <c r="B667" s="6" t="s">
        <v>344</v>
      </c>
      <c r="C667" s="6" t="s">
        <v>1044</v>
      </c>
    </row>
    <row r="668" spans="1:3" x14ac:dyDescent="0.25">
      <c r="A668" s="6">
        <v>667</v>
      </c>
      <c r="B668" s="6" t="s">
        <v>539</v>
      </c>
      <c r="C668" s="6" t="s">
        <v>1239</v>
      </c>
    </row>
    <row r="669" spans="1:3" x14ac:dyDescent="0.25">
      <c r="A669" s="6">
        <v>668</v>
      </c>
      <c r="B669" s="6" t="s">
        <v>363</v>
      </c>
      <c r="C669" s="6" t="s">
        <v>1063</v>
      </c>
    </row>
    <row r="670" spans="1:3" x14ac:dyDescent="0.25">
      <c r="A670" s="6">
        <v>669</v>
      </c>
      <c r="B670" s="6" t="s">
        <v>234</v>
      </c>
      <c r="C670" s="6" t="s">
        <v>934</v>
      </c>
    </row>
    <row r="671" spans="1:3" x14ac:dyDescent="0.25">
      <c r="A671" s="6">
        <v>670</v>
      </c>
      <c r="B671" s="6" t="s">
        <v>174</v>
      </c>
      <c r="C671" s="6" t="s">
        <v>874</v>
      </c>
    </row>
    <row r="672" spans="1:3" x14ac:dyDescent="0.25">
      <c r="A672" s="6">
        <v>671</v>
      </c>
      <c r="B672" s="6" t="s">
        <v>667</v>
      </c>
      <c r="C672" s="6" t="s">
        <v>1367</v>
      </c>
    </row>
    <row r="673" spans="1:3" x14ac:dyDescent="0.25">
      <c r="A673" s="6">
        <v>672</v>
      </c>
      <c r="B673" s="6" t="s">
        <v>617</v>
      </c>
      <c r="C673" s="6" t="s">
        <v>1317</v>
      </c>
    </row>
    <row r="674" spans="1:3" x14ac:dyDescent="0.25">
      <c r="A674" s="6">
        <v>673</v>
      </c>
      <c r="B674" s="6" t="s">
        <v>89</v>
      </c>
      <c r="C674" s="6" t="s">
        <v>789</v>
      </c>
    </row>
    <row r="675" spans="1:3" x14ac:dyDescent="0.25">
      <c r="A675" s="6">
        <v>674</v>
      </c>
      <c r="B675" s="6" t="s">
        <v>287</v>
      </c>
      <c r="C675" s="6" t="s">
        <v>987</v>
      </c>
    </row>
    <row r="676" spans="1:3" x14ac:dyDescent="0.25">
      <c r="A676" s="6">
        <v>675</v>
      </c>
      <c r="B676" s="6" t="s">
        <v>274</v>
      </c>
      <c r="C676" s="6" t="s">
        <v>974</v>
      </c>
    </row>
    <row r="677" spans="1:3" x14ac:dyDescent="0.25">
      <c r="A677" s="6">
        <v>676</v>
      </c>
      <c r="B677" s="6" t="s">
        <v>515</v>
      </c>
      <c r="C677" s="6" t="s">
        <v>1215</v>
      </c>
    </row>
    <row r="678" spans="1:3" x14ac:dyDescent="0.25">
      <c r="A678" s="6">
        <v>677</v>
      </c>
      <c r="B678" s="6" t="s">
        <v>307</v>
      </c>
      <c r="C678" s="6" t="s">
        <v>1007</v>
      </c>
    </row>
    <row r="679" spans="1:3" x14ac:dyDescent="0.25">
      <c r="A679" s="6">
        <v>678</v>
      </c>
      <c r="B679" s="6" t="s">
        <v>253</v>
      </c>
      <c r="C679" s="6" t="s">
        <v>953</v>
      </c>
    </row>
    <row r="680" spans="1:3" x14ac:dyDescent="0.25">
      <c r="A680" s="6">
        <v>679</v>
      </c>
      <c r="B680" s="6" t="s">
        <v>565</v>
      </c>
      <c r="C680" s="6" t="s">
        <v>1265</v>
      </c>
    </row>
    <row r="681" spans="1:3" x14ac:dyDescent="0.25">
      <c r="A681" s="6">
        <v>680</v>
      </c>
      <c r="B681" s="6" t="s">
        <v>480</v>
      </c>
      <c r="C681" s="6" t="s">
        <v>1180</v>
      </c>
    </row>
    <row r="682" spans="1:3" x14ac:dyDescent="0.25">
      <c r="A682" s="6">
        <v>681</v>
      </c>
      <c r="B682" s="6" t="s">
        <v>465</v>
      </c>
      <c r="C682" s="6" t="s">
        <v>1165</v>
      </c>
    </row>
    <row r="683" spans="1:3" x14ac:dyDescent="0.25">
      <c r="A683" s="6">
        <v>682</v>
      </c>
      <c r="B683" s="6" t="s">
        <v>139</v>
      </c>
      <c r="C683" s="6" t="s">
        <v>839</v>
      </c>
    </row>
    <row r="684" spans="1:3" x14ac:dyDescent="0.25">
      <c r="A684" s="6">
        <v>683</v>
      </c>
      <c r="B684" s="6" t="s">
        <v>580</v>
      </c>
      <c r="C684" s="6" t="s">
        <v>1280</v>
      </c>
    </row>
    <row r="685" spans="1:3" x14ac:dyDescent="0.25">
      <c r="A685" s="6">
        <v>684</v>
      </c>
      <c r="B685" s="6" t="s">
        <v>230</v>
      </c>
      <c r="C685" s="6" t="s">
        <v>930</v>
      </c>
    </row>
    <row r="686" spans="1:3" x14ac:dyDescent="0.25">
      <c r="A686" s="6">
        <v>685</v>
      </c>
      <c r="B686" s="6" t="s">
        <v>521</v>
      </c>
      <c r="C686" s="6" t="s">
        <v>1221</v>
      </c>
    </row>
    <row r="687" spans="1:3" x14ac:dyDescent="0.25">
      <c r="A687" s="6">
        <v>686</v>
      </c>
      <c r="B687" s="6" t="s">
        <v>301</v>
      </c>
      <c r="C687" s="6" t="s">
        <v>1001</v>
      </c>
    </row>
    <row r="688" spans="1:3" x14ac:dyDescent="0.25">
      <c r="A688" s="6">
        <v>687</v>
      </c>
      <c r="B688" s="6" t="s">
        <v>360</v>
      </c>
      <c r="C688" s="6" t="s">
        <v>1060</v>
      </c>
    </row>
    <row r="689" spans="1:3" x14ac:dyDescent="0.25">
      <c r="A689" s="6">
        <v>688</v>
      </c>
      <c r="B689" s="6" t="s">
        <v>435</v>
      </c>
      <c r="C689" s="6" t="s">
        <v>1135</v>
      </c>
    </row>
    <row r="690" spans="1:3" x14ac:dyDescent="0.25">
      <c r="A690" s="6">
        <v>689</v>
      </c>
      <c r="B690" s="6" t="s">
        <v>251</v>
      </c>
      <c r="C690" s="6" t="s">
        <v>951</v>
      </c>
    </row>
    <row r="691" spans="1:3" x14ac:dyDescent="0.25">
      <c r="A691" s="6">
        <v>690</v>
      </c>
      <c r="B691" s="6" t="s">
        <v>121</v>
      </c>
      <c r="C691" s="6" t="s">
        <v>821</v>
      </c>
    </row>
    <row r="692" spans="1:3" x14ac:dyDescent="0.25">
      <c r="A692" s="6">
        <v>691</v>
      </c>
      <c r="B692" s="6" t="s">
        <v>190</v>
      </c>
      <c r="C692" s="6" t="s">
        <v>890</v>
      </c>
    </row>
    <row r="693" spans="1:3" x14ac:dyDescent="0.25">
      <c r="A693" s="6">
        <v>692</v>
      </c>
      <c r="B693" s="6" t="s">
        <v>72</v>
      </c>
      <c r="C693" s="6" t="s">
        <v>772</v>
      </c>
    </row>
    <row r="694" spans="1:3" x14ac:dyDescent="0.25">
      <c r="A694" s="6">
        <v>693</v>
      </c>
      <c r="B694" s="6" t="s">
        <v>213</v>
      </c>
      <c r="C694" s="6" t="s">
        <v>913</v>
      </c>
    </row>
    <row r="695" spans="1:3" x14ac:dyDescent="0.25">
      <c r="A695" s="6">
        <v>694</v>
      </c>
      <c r="B695" s="6" t="s">
        <v>383</v>
      </c>
      <c r="C695" s="6" t="s">
        <v>1083</v>
      </c>
    </row>
    <row r="696" spans="1:3" x14ac:dyDescent="0.25">
      <c r="A696" s="6">
        <v>695</v>
      </c>
      <c r="B696" s="6" t="s">
        <v>573</v>
      </c>
      <c r="C696" s="6" t="s">
        <v>1273</v>
      </c>
    </row>
    <row r="697" spans="1:3" x14ac:dyDescent="0.25">
      <c r="A697" s="6">
        <v>696</v>
      </c>
      <c r="B697" s="6" t="s">
        <v>552</v>
      </c>
      <c r="C697" s="6" t="s">
        <v>1252</v>
      </c>
    </row>
    <row r="698" spans="1:3" x14ac:dyDescent="0.25">
      <c r="A698" s="6">
        <v>697</v>
      </c>
      <c r="B698" s="6" t="s">
        <v>444</v>
      </c>
      <c r="C698" s="6" t="s">
        <v>1144</v>
      </c>
    </row>
    <row r="699" spans="1:3" x14ac:dyDescent="0.25">
      <c r="A699" s="6">
        <v>698</v>
      </c>
      <c r="B699" s="6" t="s">
        <v>191</v>
      </c>
      <c r="C699" s="6" t="s">
        <v>891</v>
      </c>
    </row>
    <row r="700" spans="1:3" x14ac:dyDescent="0.25">
      <c r="A700" s="6">
        <v>699</v>
      </c>
      <c r="B700" s="6" t="s">
        <v>179</v>
      </c>
      <c r="C700" s="6" t="s">
        <v>879</v>
      </c>
    </row>
    <row r="701" spans="1:3" x14ac:dyDescent="0.25">
      <c r="A701" s="6">
        <v>700</v>
      </c>
      <c r="B701" s="6" t="s">
        <v>345</v>
      </c>
      <c r="C701" s="6" t="s">
        <v>1045</v>
      </c>
    </row>
  </sheetData>
  <sheetProtection selectLockedCells="1"/>
  <autoFilter ref="A1:C701">
    <sortState ref="A2:C701">
      <sortCondition ref="B1:B701"/>
    </sortState>
  </autoFilter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3"/>
  <sheetViews>
    <sheetView tabSelected="1" workbookViewId="0">
      <selection activeCell="N21" sqref="N21"/>
    </sheetView>
  </sheetViews>
  <sheetFormatPr defaultRowHeight="15" x14ac:dyDescent="0.25"/>
  <sheetData>
    <row r="2" spans="2:6" x14ac:dyDescent="0.25">
      <c r="B2" t="s">
        <v>1409</v>
      </c>
      <c r="C2" t="s">
        <v>1410</v>
      </c>
    </row>
    <row r="3" spans="2:6" x14ac:dyDescent="0.25">
      <c r="B3">
        <v>50.05</v>
      </c>
      <c r="C3">
        <f>B3*1.47</f>
        <v>73.573499999999996</v>
      </c>
      <c r="E3" t="s">
        <v>1411</v>
      </c>
    </row>
    <row r="5" spans="2:6" x14ac:dyDescent="0.25">
      <c r="B5" t="s">
        <v>1412</v>
      </c>
    </row>
    <row r="6" spans="2:6" x14ac:dyDescent="0.25">
      <c r="C6">
        <v>77.400000000000006</v>
      </c>
    </row>
    <row r="7" spans="2:6" x14ac:dyDescent="0.25">
      <c r="C7">
        <v>5.04</v>
      </c>
      <c r="D7" t="s">
        <v>1413</v>
      </c>
    </row>
    <row r="8" spans="2:6" x14ac:dyDescent="0.25">
      <c r="C8">
        <f>C6-C7</f>
        <v>72.36</v>
      </c>
    </row>
    <row r="9" spans="2:6" x14ac:dyDescent="0.25">
      <c r="C9">
        <v>1.45</v>
      </c>
      <c r="D9" t="s">
        <v>1414</v>
      </c>
    </row>
    <row r="10" spans="2:6" x14ac:dyDescent="0.25">
      <c r="C10">
        <f>C8-C9</f>
        <v>70.91</v>
      </c>
    </row>
    <row r="11" spans="2:6" x14ac:dyDescent="0.25">
      <c r="C11">
        <f>9.23-8.42</f>
        <v>0.8100000000000005</v>
      </c>
      <c r="D11" t="s">
        <v>1657</v>
      </c>
    </row>
    <row r="12" spans="2:6" x14ac:dyDescent="0.25">
      <c r="C12">
        <f>C10+C11</f>
        <v>71.72</v>
      </c>
      <c r="E12">
        <f>C3-C12</f>
        <v>1.8534999999999968</v>
      </c>
    </row>
    <row r="13" spans="2:6" x14ac:dyDescent="0.25">
      <c r="F13">
        <f>E12/C3</f>
        <v>2.5192494580249639E-2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93"/>
  <sheetViews>
    <sheetView topLeftCell="A168" workbookViewId="0">
      <selection activeCell="H191" sqref="H191"/>
    </sheetView>
  </sheetViews>
  <sheetFormatPr defaultRowHeight="15" x14ac:dyDescent="0.25"/>
  <cols>
    <col min="1" max="1" width="10.140625" bestFit="1" customWidth="1"/>
    <col min="6" max="6" width="11.5703125" bestFit="1" customWidth="1"/>
    <col min="8" max="8" width="11.5703125" bestFit="1" customWidth="1"/>
    <col min="19" max="19" width="12.5703125" bestFit="1" customWidth="1"/>
  </cols>
  <sheetData>
    <row r="1" spans="1:18" x14ac:dyDescent="0.25">
      <c r="A1" t="s">
        <v>1415</v>
      </c>
      <c r="B1" t="s">
        <v>1416</v>
      </c>
      <c r="C1" t="s">
        <v>1417</v>
      </c>
      <c r="D1" t="s">
        <v>1418</v>
      </c>
      <c r="E1" t="s">
        <v>1419</v>
      </c>
      <c r="F1" t="s">
        <v>1420</v>
      </c>
      <c r="G1" t="s">
        <v>1421</v>
      </c>
      <c r="H1" t="s">
        <v>1422</v>
      </c>
      <c r="I1" t="s">
        <v>1423</v>
      </c>
      <c r="J1" t="s">
        <v>1424</v>
      </c>
      <c r="K1" t="s">
        <v>1425</v>
      </c>
      <c r="L1" t="s">
        <v>1426</v>
      </c>
      <c r="M1" t="s">
        <v>1427</v>
      </c>
      <c r="N1" t="s">
        <v>1428</v>
      </c>
      <c r="O1" t="s">
        <v>1429</v>
      </c>
      <c r="P1" t="s">
        <v>1430</v>
      </c>
    </row>
    <row r="2" spans="1:18" x14ac:dyDescent="0.25">
      <c r="A2" s="14">
        <v>44295</v>
      </c>
      <c r="B2" t="s">
        <v>1431</v>
      </c>
      <c r="C2" t="s">
        <v>1432</v>
      </c>
      <c r="D2">
        <v>20</v>
      </c>
      <c r="E2">
        <v>322.8</v>
      </c>
      <c r="F2">
        <v>6456</v>
      </c>
      <c r="G2" t="s">
        <v>1433</v>
      </c>
      <c r="H2">
        <v>2021067</v>
      </c>
      <c r="I2" t="s">
        <v>1434</v>
      </c>
      <c r="J2" t="s">
        <v>1435</v>
      </c>
      <c r="K2" t="s">
        <v>1436</v>
      </c>
      <c r="L2">
        <v>6</v>
      </c>
      <c r="M2">
        <v>0.23</v>
      </c>
      <c r="N2">
        <v>0</v>
      </c>
      <c r="O2">
        <v>41.94</v>
      </c>
      <c r="P2">
        <v>48.165999999999997</v>
      </c>
      <c r="R2" s="15">
        <f>P2/F2</f>
        <v>7.4606567534076821E-3</v>
      </c>
    </row>
    <row r="3" spans="1:18" x14ac:dyDescent="0.25">
      <c r="A3" s="14">
        <v>44294</v>
      </c>
      <c r="B3" t="s">
        <v>1431</v>
      </c>
      <c r="C3" t="s">
        <v>1432</v>
      </c>
      <c r="D3">
        <v>20</v>
      </c>
      <c r="E3">
        <v>312.5</v>
      </c>
      <c r="F3">
        <v>6250</v>
      </c>
      <c r="G3" t="s">
        <v>1437</v>
      </c>
      <c r="H3">
        <v>2021066</v>
      </c>
      <c r="I3" t="s">
        <v>1434</v>
      </c>
      <c r="J3" t="s">
        <v>1435</v>
      </c>
      <c r="K3" t="s">
        <v>1436</v>
      </c>
      <c r="L3">
        <v>6.3</v>
      </c>
      <c r="M3">
        <v>0.22</v>
      </c>
      <c r="N3">
        <v>0</v>
      </c>
      <c r="O3">
        <v>41.34</v>
      </c>
      <c r="P3">
        <v>47.858800000000002</v>
      </c>
      <c r="R3" s="15">
        <f t="shared" ref="R3:R66" si="0">P3/F3</f>
        <v>7.6574080000000001E-3</v>
      </c>
    </row>
    <row r="4" spans="1:18" x14ac:dyDescent="0.25">
      <c r="A4" s="14">
        <v>44294</v>
      </c>
      <c r="B4" t="s">
        <v>1431</v>
      </c>
      <c r="C4" t="s">
        <v>1432</v>
      </c>
      <c r="D4">
        <v>20</v>
      </c>
      <c r="E4">
        <v>315</v>
      </c>
      <c r="F4">
        <v>6300</v>
      </c>
      <c r="G4" t="s">
        <v>1438</v>
      </c>
      <c r="H4">
        <v>2021066</v>
      </c>
      <c r="I4" t="s">
        <v>1434</v>
      </c>
      <c r="J4" t="s">
        <v>1435</v>
      </c>
      <c r="K4" t="s">
        <v>1436</v>
      </c>
      <c r="L4">
        <v>6.3</v>
      </c>
      <c r="M4">
        <v>0.22</v>
      </c>
      <c r="N4">
        <v>0</v>
      </c>
      <c r="O4">
        <v>41.34</v>
      </c>
      <c r="P4">
        <v>47.860500000000002</v>
      </c>
      <c r="R4" s="15">
        <f t="shared" si="0"/>
        <v>7.5969047619047622E-3</v>
      </c>
    </row>
    <row r="5" spans="1:18" x14ac:dyDescent="0.25">
      <c r="A5" s="14">
        <v>44294</v>
      </c>
      <c r="B5" t="s">
        <v>1431</v>
      </c>
      <c r="C5" t="s">
        <v>1432</v>
      </c>
      <c r="D5">
        <v>20</v>
      </c>
      <c r="E5">
        <v>318.10000000000002</v>
      </c>
      <c r="F5">
        <v>6362</v>
      </c>
      <c r="G5" t="s">
        <v>1439</v>
      </c>
      <c r="H5">
        <v>2021066</v>
      </c>
      <c r="I5" t="s">
        <v>1434</v>
      </c>
      <c r="J5" t="s">
        <v>1435</v>
      </c>
      <c r="K5" t="s">
        <v>1436</v>
      </c>
      <c r="L5">
        <v>6.39</v>
      </c>
      <c r="M5">
        <v>0.22</v>
      </c>
      <c r="N5">
        <v>0</v>
      </c>
      <c r="O5">
        <v>41.34</v>
      </c>
      <c r="P5">
        <v>47.9527</v>
      </c>
      <c r="R5" s="15">
        <f t="shared" si="0"/>
        <v>7.5373624646337626E-3</v>
      </c>
    </row>
    <row r="6" spans="1:18" x14ac:dyDescent="0.25">
      <c r="A6" s="14">
        <v>44293</v>
      </c>
      <c r="B6" t="s">
        <v>1440</v>
      </c>
      <c r="C6" t="s">
        <v>1432</v>
      </c>
      <c r="D6">
        <v>10</v>
      </c>
      <c r="E6">
        <v>585.1</v>
      </c>
      <c r="F6">
        <v>5851</v>
      </c>
      <c r="G6" t="s">
        <v>1441</v>
      </c>
      <c r="H6">
        <v>2021065</v>
      </c>
      <c r="I6" t="s">
        <v>1434</v>
      </c>
      <c r="J6" t="s">
        <v>1435</v>
      </c>
      <c r="K6" t="s">
        <v>1436</v>
      </c>
      <c r="L6">
        <v>6</v>
      </c>
      <c r="M6">
        <v>0.2</v>
      </c>
      <c r="N6">
        <v>0</v>
      </c>
      <c r="O6">
        <v>41.34</v>
      </c>
      <c r="P6">
        <v>47.544800000000002</v>
      </c>
      <c r="R6" s="15">
        <f t="shared" si="0"/>
        <v>8.125927191933004E-3</v>
      </c>
    </row>
    <row r="7" spans="1:18" x14ac:dyDescent="0.25">
      <c r="A7" s="14">
        <v>44291</v>
      </c>
      <c r="B7" t="s">
        <v>1431</v>
      </c>
      <c r="C7" t="s">
        <v>1432</v>
      </c>
      <c r="D7">
        <v>40</v>
      </c>
      <c r="E7">
        <v>306.3</v>
      </c>
      <c r="F7">
        <v>12252</v>
      </c>
      <c r="G7" t="s">
        <v>1442</v>
      </c>
      <c r="H7">
        <v>2021063</v>
      </c>
      <c r="I7" t="s">
        <v>1434</v>
      </c>
      <c r="J7" t="s">
        <v>1435</v>
      </c>
      <c r="K7" t="s">
        <v>1436</v>
      </c>
      <c r="L7">
        <v>12</v>
      </c>
      <c r="M7">
        <v>0.43</v>
      </c>
      <c r="N7">
        <v>0</v>
      </c>
      <c r="O7">
        <v>79.599999999999994</v>
      </c>
      <c r="P7">
        <v>92.028800000000004</v>
      </c>
      <c r="R7" s="15">
        <f t="shared" si="0"/>
        <v>7.5113287626509965E-3</v>
      </c>
    </row>
    <row r="8" spans="1:18" x14ac:dyDescent="0.25">
      <c r="A8" s="14">
        <v>44287</v>
      </c>
      <c r="B8" t="s">
        <v>1431</v>
      </c>
      <c r="C8" t="s">
        <v>1432</v>
      </c>
      <c r="D8">
        <v>40</v>
      </c>
      <c r="E8">
        <v>305.7</v>
      </c>
      <c r="F8">
        <v>12228</v>
      </c>
      <c r="G8" t="s">
        <v>1443</v>
      </c>
      <c r="H8">
        <v>2021062</v>
      </c>
      <c r="I8" t="s">
        <v>1434</v>
      </c>
      <c r="J8" t="s">
        <v>1435</v>
      </c>
      <c r="K8" t="s">
        <v>1436</v>
      </c>
      <c r="L8">
        <v>12.23</v>
      </c>
      <c r="M8">
        <v>0.43</v>
      </c>
      <c r="N8">
        <v>0</v>
      </c>
      <c r="O8">
        <v>79.44</v>
      </c>
      <c r="P8">
        <v>92.097999999999999</v>
      </c>
      <c r="R8" s="15">
        <f t="shared" si="0"/>
        <v>7.5317304546941447E-3</v>
      </c>
    </row>
    <row r="9" spans="1:18" x14ac:dyDescent="0.25">
      <c r="A9" s="14">
        <v>44287</v>
      </c>
      <c r="B9" t="s">
        <v>1444</v>
      </c>
      <c r="C9" t="s">
        <v>1445</v>
      </c>
      <c r="D9">
        <v>15</v>
      </c>
      <c r="E9">
        <v>686.05</v>
      </c>
      <c r="F9">
        <v>10290.75</v>
      </c>
      <c r="G9" t="s">
        <v>1446</v>
      </c>
      <c r="H9">
        <v>2021062</v>
      </c>
      <c r="I9" t="s">
        <v>1434</v>
      </c>
      <c r="J9" t="s">
        <v>1435</v>
      </c>
      <c r="K9" t="s">
        <v>1436</v>
      </c>
      <c r="L9">
        <v>10.77</v>
      </c>
      <c r="M9">
        <v>0.36</v>
      </c>
      <c r="N9">
        <v>2</v>
      </c>
      <c r="O9">
        <v>66.849999999999994</v>
      </c>
      <c r="P9">
        <v>79.980199999999996</v>
      </c>
      <c r="R9" s="15">
        <f t="shared" si="0"/>
        <v>7.7720477127517429E-3</v>
      </c>
    </row>
    <row r="10" spans="1:18" x14ac:dyDescent="0.25">
      <c r="A10" s="14">
        <v>44285</v>
      </c>
      <c r="B10" t="s">
        <v>1447</v>
      </c>
      <c r="C10" t="s">
        <v>1445</v>
      </c>
      <c r="D10">
        <v>5</v>
      </c>
      <c r="E10">
        <v>1881</v>
      </c>
      <c r="F10">
        <v>9405</v>
      </c>
      <c r="G10" t="s">
        <v>1448</v>
      </c>
      <c r="H10">
        <v>2021060</v>
      </c>
      <c r="I10" t="s">
        <v>1434</v>
      </c>
      <c r="J10" t="s">
        <v>1435</v>
      </c>
      <c r="K10" t="s">
        <v>1436</v>
      </c>
      <c r="L10">
        <v>9</v>
      </c>
      <c r="M10">
        <v>0.32</v>
      </c>
      <c r="N10">
        <v>1</v>
      </c>
      <c r="O10">
        <v>61.1</v>
      </c>
      <c r="P10">
        <v>71.424499999999995</v>
      </c>
      <c r="R10" s="15">
        <f t="shared" si="0"/>
        <v>7.5943115364167993E-3</v>
      </c>
    </row>
    <row r="11" spans="1:18" x14ac:dyDescent="0.25">
      <c r="A11" s="14">
        <v>44280</v>
      </c>
      <c r="B11" t="s">
        <v>1449</v>
      </c>
      <c r="C11" t="s">
        <v>1445</v>
      </c>
      <c r="D11">
        <v>20</v>
      </c>
      <c r="E11">
        <v>521.75</v>
      </c>
      <c r="F11">
        <v>10435</v>
      </c>
      <c r="G11" t="s">
        <v>1450</v>
      </c>
      <c r="H11">
        <v>2021058</v>
      </c>
      <c r="I11" t="s">
        <v>1434</v>
      </c>
      <c r="J11" t="s">
        <v>1435</v>
      </c>
      <c r="K11" t="s">
        <v>1436</v>
      </c>
      <c r="L11">
        <v>10.37</v>
      </c>
      <c r="M11">
        <v>0.36</v>
      </c>
      <c r="N11">
        <v>1.57</v>
      </c>
      <c r="O11">
        <v>67.790000000000006</v>
      </c>
      <c r="P11">
        <v>80.09</v>
      </c>
      <c r="R11" s="15">
        <f t="shared" si="0"/>
        <v>7.6751317680881651E-3</v>
      </c>
    </row>
    <row r="12" spans="1:18" x14ac:dyDescent="0.25">
      <c r="A12" s="14">
        <v>44280</v>
      </c>
      <c r="B12" t="s">
        <v>1451</v>
      </c>
      <c r="C12" t="s">
        <v>1445</v>
      </c>
      <c r="D12">
        <v>25</v>
      </c>
      <c r="E12">
        <v>397</v>
      </c>
      <c r="F12">
        <v>9925</v>
      </c>
      <c r="G12" t="s">
        <v>1452</v>
      </c>
      <c r="H12">
        <v>2021058</v>
      </c>
      <c r="I12" t="s">
        <v>1434</v>
      </c>
      <c r="J12" t="s">
        <v>1435</v>
      </c>
      <c r="K12" t="s">
        <v>1436</v>
      </c>
      <c r="L12">
        <v>9.93</v>
      </c>
      <c r="M12">
        <v>0.34</v>
      </c>
      <c r="N12">
        <v>1.49</v>
      </c>
      <c r="O12">
        <v>64.47</v>
      </c>
      <c r="P12">
        <v>76.232500000000002</v>
      </c>
      <c r="R12" s="15">
        <f t="shared" si="0"/>
        <v>7.680856423173804E-3</v>
      </c>
    </row>
    <row r="13" spans="1:18" x14ac:dyDescent="0.25">
      <c r="A13" s="14">
        <v>44280</v>
      </c>
      <c r="B13" t="s">
        <v>1444</v>
      </c>
      <c r="C13" t="s">
        <v>1445</v>
      </c>
      <c r="D13">
        <v>15</v>
      </c>
      <c r="E13">
        <v>666</v>
      </c>
      <c r="F13">
        <v>9990</v>
      </c>
      <c r="G13" t="s">
        <v>1453</v>
      </c>
      <c r="H13">
        <v>2021058</v>
      </c>
      <c r="I13" t="s">
        <v>1434</v>
      </c>
      <c r="J13" t="s">
        <v>1435</v>
      </c>
      <c r="K13" t="s">
        <v>1436</v>
      </c>
      <c r="L13">
        <v>9.99</v>
      </c>
      <c r="M13">
        <v>0.34</v>
      </c>
      <c r="N13">
        <v>1.5</v>
      </c>
      <c r="O13">
        <v>64.900000000000006</v>
      </c>
      <c r="P13">
        <v>76.734700000000004</v>
      </c>
      <c r="R13" s="15">
        <f t="shared" si="0"/>
        <v>7.6811511511511513E-3</v>
      </c>
    </row>
    <row r="14" spans="1:18" x14ac:dyDescent="0.25">
      <c r="A14" s="14">
        <v>44280</v>
      </c>
      <c r="B14" t="s">
        <v>1454</v>
      </c>
      <c r="C14" t="s">
        <v>1445</v>
      </c>
      <c r="D14">
        <v>5</v>
      </c>
      <c r="E14">
        <v>3481</v>
      </c>
      <c r="F14">
        <v>17405</v>
      </c>
      <c r="G14" t="s">
        <v>1455</v>
      </c>
      <c r="H14">
        <v>2021058</v>
      </c>
      <c r="I14" t="s">
        <v>1434</v>
      </c>
      <c r="J14" t="s">
        <v>1435</v>
      </c>
      <c r="K14" t="s">
        <v>1436</v>
      </c>
      <c r="L14">
        <v>17.41</v>
      </c>
      <c r="M14">
        <v>0.6</v>
      </c>
      <c r="N14">
        <v>2.14</v>
      </c>
      <c r="O14">
        <v>113.07</v>
      </c>
      <c r="P14">
        <v>133.22049999999999</v>
      </c>
      <c r="R14" s="15">
        <f t="shared" si="0"/>
        <v>7.6541511060040212E-3</v>
      </c>
    </row>
    <row r="15" spans="1:18" x14ac:dyDescent="0.25">
      <c r="A15" s="14">
        <v>44280</v>
      </c>
      <c r="B15" t="s">
        <v>1456</v>
      </c>
      <c r="C15" t="s">
        <v>1445</v>
      </c>
      <c r="D15">
        <v>10</v>
      </c>
      <c r="E15">
        <v>1531</v>
      </c>
      <c r="F15">
        <v>15310</v>
      </c>
      <c r="G15" t="s">
        <v>1457</v>
      </c>
      <c r="H15">
        <v>2021058</v>
      </c>
      <c r="I15" t="s">
        <v>1434</v>
      </c>
      <c r="J15" t="s">
        <v>1435</v>
      </c>
      <c r="K15" t="s">
        <v>1436</v>
      </c>
      <c r="L15">
        <v>15.31</v>
      </c>
      <c r="M15">
        <v>0.53</v>
      </c>
      <c r="N15">
        <v>2.2999999999999998</v>
      </c>
      <c r="O15">
        <v>99.46</v>
      </c>
      <c r="P15">
        <v>117.59820000000001</v>
      </c>
      <c r="R15" s="15">
        <f t="shared" si="0"/>
        <v>7.6811365120836054E-3</v>
      </c>
    </row>
    <row r="16" spans="1:18" x14ac:dyDescent="0.25">
      <c r="A16" s="14">
        <v>44272</v>
      </c>
      <c r="B16" t="s">
        <v>1458</v>
      </c>
      <c r="C16" t="s">
        <v>1445</v>
      </c>
      <c r="D16">
        <v>5</v>
      </c>
      <c r="E16">
        <v>2936</v>
      </c>
      <c r="F16">
        <v>14680</v>
      </c>
      <c r="G16" t="s">
        <v>1459</v>
      </c>
      <c r="H16">
        <v>2021052</v>
      </c>
      <c r="I16" t="s">
        <v>1434</v>
      </c>
      <c r="J16" t="s">
        <v>1435</v>
      </c>
      <c r="K16" t="s">
        <v>1436</v>
      </c>
      <c r="L16">
        <v>15</v>
      </c>
      <c r="M16">
        <v>0.51</v>
      </c>
      <c r="N16">
        <v>2</v>
      </c>
      <c r="O16">
        <v>95.36</v>
      </c>
      <c r="P16">
        <v>112.8664</v>
      </c>
      <c r="R16" s="15">
        <f t="shared" si="0"/>
        <v>7.6884468664850138E-3</v>
      </c>
    </row>
    <row r="17" spans="1:18" x14ac:dyDescent="0.25">
      <c r="A17" s="14">
        <v>44263</v>
      </c>
      <c r="B17" t="s">
        <v>1440</v>
      </c>
      <c r="C17" t="s">
        <v>1432</v>
      </c>
      <c r="D17">
        <v>10</v>
      </c>
      <c r="E17">
        <v>615.79999999999995</v>
      </c>
      <c r="F17">
        <v>6158</v>
      </c>
      <c r="G17" t="s">
        <v>1460</v>
      </c>
      <c r="H17">
        <v>2021046</v>
      </c>
      <c r="I17" t="s">
        <v>1434</v>
      </c>
      <c r="J17" t="s">
        <v>1435</v>
      </c>
      <c r="K17" t="s">
        <v>1436</v>
      </c>
      <c r="L17">
        <v>6</v>
      </c>
      <c r="M17">
        <v>0.21</v>
      </c>
      <c r="N17">
        <v>0</v>
      </c>
      <c r="O17">
        <v>41.34</v>
      </c>
      <c r="P17">
        <v>47.552500000000002</v>
      </c>
      <c r="R17" s="15">
        <f t="shared" si="0"/>
        <v>7.7220688535238717E-3</v>
      </c>
    </row>
    <row r="18" spans="1:18" x14ac:dyDescent="0.25">
      <c r="A18" s="14">
        <v>44258</v>
      </c>
      <c r="B18" t="s">
        <v>1440</v>
      </c>
      <c r="C18" t="s">
        <v>1432</v>
      </c>
      <c r="D18">
        <v>10</v>
      </c>
      <c r="E18">
        <v>605</v>
      </c>
      <c r="F18">
        <v>6050</v>
      </c>
      <c r="G18" t="s">
        <v>1461</v>
      </c>
      <c r="H18">
        <v>2021043</v>
      </c>
      <c r="I18" t="s">
        <v>1434</v>
      </c>
      <c r="J18" t="s">
        <v>1435</v>
      </c>
      <c r="K18" t="s">
        <v>1436</v>
      </c>
      <c r="L18">
        <v>6.08</v>
      </c>
      <c r="M18">
        <v>0.21</v>
      </c>
      <c r="N18">
        <v>0</v>
      </c>
      <c r="O18">
        <v>41.34</v>
      </c>
      <c r="P18">
        <v>47.628700000000002</v>
      </c>
      <c r="R18" s="15">
        <f t="shared" si="0"/>
        <v>7.8725123966942156E-3</v>
      </c>
    </row>
    <row r="19" spans="1:18" x14ac:dyDescent="0.25">
      <c r="A19" s="14">
        <v>44258</v>
      </c>
      <c r="B19" t="s">
        <v>1440</v>
      </c>
      <c r="C19" t="s">
        <v>1432</v>
      </c>
      <c r="D19">
        <v>10</v>
      </c>
      <c r="E19">
        <v>610</v>
      </c>
      <c r="F19">
        <v>6100</v>
      </c>
      <c r="G19" t="s">
        <v>1462</v>
      </c>
      <c r="H19">
        <v>2021043</v>
      </c>
      <c r="I19" t="s">
        <v>1434</v>
      </c>
      <c r="J19" t="s">
        <v>1435</v>
      </c>
      <c r="K19" t="s">
        <v>1436</v>
      </c>
      <c r="L19">
        <v>5.93</v>
      </c>
      <c r="M19">
        <v>0.21</v>
      </c>
      <c r="N19">
        <v>0</v>
      </c>
      <c r="O19">
        <v>41.34</v>
      </c>
      <c r="P19">
        <v>47.480499999999999</v>
      </c>
      <c r="R19" s="15">
        <f t="shared" si="0"/>
        <v>7.7836885245901634E-3</v>
      </c>
    </row>
    <row r="20" spans="1:18" x14ac:dyDescent="0.25">
      <c r="A20" s="14">
        <v>44253</v>
      </c>
      <c r="B20" t="s">
        <v>1451</v>
      </c>
      <c r="C20" t="s">
        <v>1445</v>
      </c>
      <c r="D20">
        <v>25</v>
      </c>
      <c r="E20">
        <v>401</v>
      </c>
      <c r="F20">
        <v>10025</v>
      </c>
      <c r="G20" t="s">
        <v>1463</v>
      </c>
      <c r="H20">
        <v>2021040</v>
      </c>
      <c r="I20" t="s">
        <v>1434</v>
      </c>
      <c r="J20" t="s">
        <v>1435</v>
      </c>
      <c r="K20" t="s">
        <v>1436</v>
      </c>
      <c r="L20">
        <v>10.029999999999999</v>
      </c>
      <c r="M20">
        <v>0.35</v>
      </c>
      <c r="N20">
        <v>1.5</v>
      </c>
      <c r="O20">
        <v>65.12</v>
      </c>
      <c r="P20">
        <v>76.995900000000006</v>
      </c>
      <c r="R20" s="15">
        <f t="shared" si="0"/>
        <v>7.6803890274314219E-3</v>
      </c>
    </row>
    <row r="21" spans="1:18" x14ac:dyDescent="0.25">
      <c r="A21" s="14">
        <v>44253</v>
      </c>
      <c r="B21" t="s">
        <v>1458</v>
      </c>
      <c r="C21" t="s">
        <v>1445</v>
      </c>
      <c r="D21">
        <v>5</v>
      </c>
      <c r="E21">
        <v>2936</v>
      </c>
      <c r="F21">
        <v>14680</v>
      </c>
      <c r="G21" t="s">
        <v>1464</v>
      </c>
      <c r="H21">
        <v>2021040</v>
      </c>
      <c r="I21" t="s">
        <v>1434</v>
      </c>
      <c r="J21" t="s">
        <v>1435</v>
      </c>
      <c r="K21" t="s">
        <v>1436</v>
      </c>
      <c r="L21">
        <v>14.68</v>
      </c>
      <c r="M21">
        <v>0.51</v>
      </c>
      <c r="N21">
        <v>1.98</v>
      </c>
      <c r="O21">
        <v>95.36</v>
      </c>
      <c r="P21">
        <v>112.5264</v>
      </c>
      <c r="R21" s="15">
        <f t="shared" si="0"/>
        <v>7.6652861035422341E-3</v>
      </c>
    </row>
    <row r="22" spans="1:18" x14ac:dyDescent="0.25">
      <c r="A22" s="14">
        <v>44253</v>
      </c>
      <c r="B22" t="s">
        <v>1449</v>
      </c>
      <c r="C22" t="s">
        <v>1445</v>
      </c>
      <c r="D22">
        <v>20</v>
      </c>
      <c r="E22">
        <v>505.1</v>
      </c>
      <c r="F22">
        <v>10102</v>
      </c>
      <c r="G22" t="s">
        <v>1465</v>
      </c>
      <c r="H22">
        <v>2021040</v>
      </c>
      <c r="I22" t="s">
        <v>1434</v>
      </c>
      <c r="J22" t="s">
        <v>1435</v>
      </c>
      <c r="K22" t="s">
        <v>1436</v>
      </c>
      <c r="L22">
        <v>10.41</v>
      </c>
      <c r="M22">
        <v>0.35</v>
      </c>
      <c r="N22">
        <v>1.52</v>
      </c>
      <c r="O22">
        <v>65.62</v>
      </c>
      <c r="P22">
        <v>77.898600000000002</v>
      </c>
      <c r="R22" s="15">
        <f t="shared" si="0"/>
        <v>7.7112057018412193E-3</v>
      </c>
    </row>
    <row r="23" spans="1:18" x14ac:dyDescent="0.25">
      <c r="A23" s="14">
        <v>44253</v>
      </c>
      <c r="B23" t="s">
        <v>1440</v>
      </c>
      <c r="C23" t="s">
        <v>1432</v>
      </c>
      <c r="D23">
        <v>10</v>
      </c>
      <c r="E23">
        <v>589</v>
      </c>
      <c r="F23">
        <v>5890</v>
      </c>
      <c r="G23" t="s">
        <v>1466</v>
      </c>
      <c r="H23">
        <v>2021040</v>
      </c>
      <c r="I23" t="s">
        <v>1434</v>
      </c>
      <c r="J23" t="s">
        <v>1435</v>
      </c>
      <c r="K23" t="s">
        <v>1436</v>
      </c>
      <c r="L23">
        <v>5.89</v>
      </c>
      <c r="M23">
        <v>0.2</v>
      </c>
      <c r="N23">
        <v>0</v>
      </c>
      <c r="O23">
        <v>41.34</v>
      </c>
      <c r="P23">
        <v>47.433199999999999</v>
      </c>
      <c r="R23" s="15">
        <f t="shared" si="0"/>
        <v>8.0531748726655351E-3</v>
      </c>
    </row>
    <row r="24" spans="1:18" x14ac:dyDescent="0.25">
      <c r="A24" s="14">
        <v>44250</v>
      </c>
      <c r="B24" t="s">
        <v>1440</v>
      </c>
      <c r="C24" t="s">
        <v>1432</v>
      </c>
      <c r="D24">
        <v>10</v>
      </c>
      <c r="E24">
        <v>595</v>
      </c>
      <c r="F24">
        <v>5950</v>
      </c>
      <c r="G24" t="s">
        <v>1467</v>
      </c>
      <c r="H24">
        <v>2021037</v>
      </c>
      <c r="I24" t="s">
        <v>1434</v>
      </c>
      <c r="J24" t="s">
        <v>1435</v>
      </c>
      <c r="K24" t="s">
        <v>1436</v>
      </c>
      <c r="L24">
        <v>6</v>
      </c>
      <c r="M24">
        <v>0.21</v>
      </c>
      <c r="N24">
        <v>0</v>
      </c>
      <c r="O24">
        <v>41.34</v>
      </c>
      <c r="P24">
        <v>47.545299999999997</v>
      </c>
      <c r="R24" s="15">
        <f t="shared" si="0"/>
        <v>7.9908067226890749E-3</v>
      </c>
    </row>
    <row r="25" spans="1:18" x14ac:dyDescent="0.25">
      <c r="A25" s="14">
        <v>44246</v>
      </c>
      <c r="B25" t="s">
        <v>1440</v>
      </c>
      <c r="C25" t="s">
        <v>1432</v>
      </c>
      <c r="D25">
        <v>10</v>
      </c>
      <c r="E25">
        <v>575</v>
      </c>
      <c r="F25">
        <v>5750</v>
      </c>
      <c r="G25" t="s">
        <v>1468</v>
      </c>
      <c r="H25">
        <v>2021035</v>
      </c>
      <c r="I25" t="s">
        <v>1434</v>
      </c>
      <c r="J25" t="s">
        <v>1435</v>
      </c>
      <c r="K25" t="s">
        <v>1436</v>
      </c>
      <c r="L25">
        <v>5.79</v>
      </c>
      <c r="M25">
        <v>0.2</v>
      </c>
      <c r="N25">
        <v>0</v>
      </c>
      <c r="O25">
        <v>41.34</v>
      </c>
      <c r="P25">
        <v>47.328400000000002</v>
      </c>
      <c r="R25" s="15">
        <f t="shared" si="0"/>
        <v>8.2310260869565225E-3</v>
      </c>
    </row>
    <row r="26" spans="1:18" x14ac:dyDescent="0.25">
      <c r="A26" s="14">
        <v>44246</v>
      </c>
      <c r="B26" t="s">
        <v>1449</v>
      </c>
      <c r="C26" t="s">
        <v>1445</v>
      </c>
      <c r="D26">
        <v>20</v>
      </c>
      <c r="E26">
        <v>510.9</v>
      </c>
      <c r="F26">
        <v>10218</v>
      </c>
      <c r="G26" t="s">
        <v>1469</v>
      </c>
      <c r="H26">
        <v>2021035</v>
      </c>
      <c r="I26" t="s">
        <v>1434</v>
      </c>
      <c r="J26" t="s">
        <v>1435</v>
      </c>
      <c r="K26" t="s">
        <v>1436</v>
      </c>
      <c r="L26">
        <v>10.42</v>
      </c>
      <c r="M26">
        <v>0.35</v>
      </c>
      <c r="N26">
        <v>2</v>
      </c>
      <c r="O26">
        <v>66.38</v>
      </c>
      <c r="P26">
        <v>79.152500000000003</v>
      </c>
      <c r="R26" s="15">
        <f t="shared" si="0"/>
        <v>7.7463789391270313E-3</v>
      </c>
    </row>
    <row r="27" spans="1:18" x14ac:dyDescent="0.25">
      <c r="A27" s="14">
        <v>44246</v>
      </c>
      <c r="B27" t="s">
        <v>1440</v>
      </c>
      <c r="C27" t="s">
        <v>1432</v>
      </c>
      <c r="D27">
        <v>10</v>
      </c>
      <c r="E27">
        <v>583.5</v>
      </c>
      <c r="F27">
        <v>5835</v>
      </c>
      <c r="G27" t="s">
        <v>1470</v>
      </c>
      <c r="H27">
        <v>2021035</v>
      </c>
      <c r="I27" t="s">
        <v>1434</v>
      </c>
      <c r="J27" t="s">
        <v>1435</v>
      </c>
      <c r="K27" t="s">
        <v>1436</v>
      </c>
      <c r="L27">
        <v>5.79</v>
      </c>
      <c r="M27">
        <v>0.2</v>
      </c>
      <c r="N27">
        <v>0</v>
      </c>
      <c r="O27">
        <v>41.34</v>
      </c>
      <c r="P27">
        <v>47.331299999999999</v>
      </c>
      <c r="R27" s="15">
        <f t="shared" si="0"/>
        <v>8.1116195372750634E-3</v>
      </c>
    </row>
    <row r="28" spans="1:18" x14ac:dyDescent="0.25">
      <c r="A28" s="14">
        <v>44244</v>
      </c>
      <c r="B28" t="s">
        <v>1440</v>
      </c>
      <c r="C28" t="s">
        <v>1432</v>
      </c>
      <c r="D28">
        <v>10</v>
      </c>
      <c r="E28">
        <v>565</v>
      </c>
      <c r="F28">
        <v>5650</v>
      </c>
      <c r="G28" t="s">
        <v>1471</v>
      </c>
      <c r="H28">
        <v>2021033</v>
      </c>
      <c r="I28" t="s">
        <v>1434</v>
      </c>
      <c r="J28" t="s">
        <v>1435</v>
      </c>
      <c r="K28" t="s">
        <v>1436</v>
      </c>
      <c r="L28">
        <v>6</v>
      </c>
      <c r="M28">
        <v>0.19</v>
      </c>
      <c r="N28">
        <v>0</v>
      </c>
      <c r="O28">
        <v>41.34</v>
      </c>
      <c r="P28">
        <v>47.5349</v>
      </c>
      <c r="R28" s="15">
        <f t="shared" si="0"/>
        <v>8.4132566371681421E-3</v>
      </c>
    </row>
    <row r="29" spans="1:18" x14ac:dyDescent="0.25">
      <c r="A29" s="14">
        <v>44238</v>
      </c>
      <c r="B29" t="s">
        <v>1472</v>
      </c>
      <c r="C29" t="s">
        <v>1432</v>
      </c>
      <c r="D29">
        <v>5</v>
      </c>
      <c r="E29">
        <v>5273</v>
      </c>
      <c r="F29">
        <v>26365</v>
      </c>
      <c r="G29" t="s">
        <v>1473</v>
      </c>
      <c r="H29">
        <v>2021029</v>
      </c>
      <c r="I29" t="s">
        <v>1434</v>
      </c>
      <c r="J29" t="s">
        <v>1435</v>
      </c>
      <c r="K29" t="s">
        <v>1436</v>
      </c>
      <c r="L29">
        <v>26.35</v>
      </c>
      <c r="M29">
        <v>0.91</v>
      </c>
      <c r="N29">
        <v>0</v>
      </c>
      <c r="O29">
        <v>171.27</v>
      </c>
      <c r="P29">
        <v>198.52959999999999</v>
      </c>
      <c r="R29" s="15">
        <f t="shared" si="0"/>
        <v>7.5300436184335285E-3</v>
      </c>
    </row>
    <row r="30" spans="1:18" x14ac:dyDescent="0.25">
      <c r="A30" s="14">
        <v>44238</v>
      </c>
      <c r="B30" t="s">
        <v>1440</v>
      </c>
      <c r="C30" t="s">
        <v>1432</v>
      </c>
      <c r="D30">
        <v>10</v>
      </c>
      <c r="E30">
        <v>565</v>
      </c>
      <c r="F30">
        <v>5650</v>
      </c>
      <c r="G30" t="s">
        <v>1474</v>
      </c>
      <c r="H30">
        <v>2021029</v>
      </c>
      <c r="I30" t="s">
        <v>1434</v>
      </c>
      <c r="J30" t="s">
        <v>1435</v>
      </c>
      <c r="K30" t="s">
        <v>1436</v>
      </c>
      <c r="L30">
        <v>5.65</v>
      </c>
      <c r="M30">
        <v>0.19</v>
      </c>
      <c r="N30">
        <v>0</v>
      </c>
      <c r="O30">
        <v>41.34</v>
      </c>
      <c r="P30">
        <v>47.184899999999999</v>
      </c>
      <c r="R30" s="15">
        <f t="shared" si="0"/>
        <v>8.3513097345132743E-3</v>
      </c>
    </row>
    <row r="31" spans="1:18" x14ac:dyDescent="0.25">
      <c r="A31" s="14">
        <v>44225</v>
      </c>
      <c r="B31" t="s">
        <v>1440</v>
      </c>
      <c r="C31" t="s">
        <v>1432</v>
      </c>
      <c r="D31">
        <v>10</v>
      </c>
      <c r="E31">
        <v>556</v>
      </c>
      <c r="F31">
        <v>5560</v>
      </c>
      <c r="G31" t="s">
        <v>1475</v>
      </c>
      <c r="H31">
        <v>2021020</v>
      </c>
      <c r="I31" t="s">
        <v>1434</v>
      </c>
      <c r="J31" t="s">
        <v>1435</v>
      </c>
      <c r="K31" t="s">
        <v>1436</v>
      </c>
      <c r="L31">
        <v>5.76</v>
      </c>
      <c r="M31">
        <v>0.19</v>
      </c>
      <c r="N31">
        <v>0</v>
      </c>
      <c r="O31">
        <v>41.33</v>
      </c>
      <c r="P31">
        <v>47.281799999999997</v>
      </c>
      <c r="R31" s="15">
        <f t="shared" si="0"/>
        <v>8.5039208633093527E-3</v>
      </c>
    </row>
    <row r="32" spans="1:18" x14ac:dyDescent="0.25">
      <c r="A32" s="14">
        <v>44225</v>
      </c>
      <c r="B32" t="s">
        <v>1449</v>
      </c>
      <c r="C32" t="s">
        <v>1445</v>
      </c>
      <c r="D32">
        <v>20</v>
      </c>
      <c r="E32">
        <v>511.9</v>
      </c>
      <c r="F32">
        <v>10238</v>
      </c>
      <c r="G32" t="s">
        <v>1476</v>
      </c>
      <c r="H32">
        <v>2021020</v>
      </c>
      <c r="I32" t="s">
        <v>1434</v>
      </c>
      <c r="J32" t="s">
        <v>1435</v>
      </c>
      <c r="K32" t="s">
        <v>1436</v>
      </c>
      <c r="L32">
        <v>10.24</v>
      </c>
      <c r="M32">
        <v>0.35</v>
      </c>
      <c r="N32">
        <v>2</v>
      </c>
      <c r="O32">
        <v>66.510000000000005</v>
      </c>
      <c r="P32">
        <v>79.103200000000001</v>
      </c>
      <c r="R32" s="15">
        <f t="shared" si="0"/>
        <v>7.726430943543661E-3</v>
      </c>
    </row>
    <row r="33" spans="1:18" x14ac:dyDescent="0.25">
      <c r="A33" s="14">
        <v>44221</v>
      </c>
      <c r="B33" t="s">
        <v>1458</v>
      </c>
      <c r="C33" t="s">
        <v>1445</v>
      </c>
      <c r="D33">
        <v>5</v>
      </c>
      <c r="E33">
        <v>2971</v>
      </c>
      <c r="F33">
        <v>14855</v>
      </c>
      <c r="G33" t="s">
        <v>1477</v>
      </c>
      <c r="H33">
        <v>2021017</v>
      </c>
      <c r="I33" t="s">
        <v>1434</v>
      </c>
      <c r="J33" t="s">
        <v>1435</v>
      </c>
      <c r="K33" t="s">
        <v>1436</v>
      </c>
      <c r="L33">
        <v>15</v>
      </c>
      <c r="M33">
        <v>0.51</v>
      </c>
      <c r="N33">
        <v>2</v>
      </c>
      <c r="O33">
        <v>96.5</v>
      </c>
      <c r="P33">
        <v>114.0125</v>
      </c>
      <c r="R33" s="15">
        <f t="shared" si="0"/>
        <v>7.6750252440255804E-3</v>
      </c>
    </row>
    <row r="34" spans="1:18" x14ac:dyDescent="0.25">
      <c r="A34" s="14">
        <v>44217</v>
      </c>
      <c r="B34" t="s">
        <v>1458</v>
      </c>
      <c r="C34" t="s">
        <v>1445</v>
      </c>
      <c r="D34">
        <v>5</v>
      </c>
      <c r="E34">
        <v>3121</v>
      </c>
      <c r="F34">
        <v>15605</v>
      </c>
      <c r="G34" t="s">
        <v>1478</v>
      </c>
      <c r="H34">
        <v>2021015</v>
      </c>
      <c r="I34" t="s">
        <v>1434</v>
      </c>
      <c r="J34" t="s">
        <v>1435</v>
      </c>
      <c r="K34" t="s">
        <v>1436</v>
      </c>
      <c r="L34">
        <v>16</v>
      </c>
      <c r="M34">
        <v>0.54</v>
      </c>
      <c r="N34">
        <v>2</v>
      </c>
      <c r="O34">
        <v>101.37</v>
      </c>
      <c r="P34">
        <v>119.9084</v>
      </c>
      <c r="R34" s="15">
        <f t="shared" si="0"/>
        <v>7.6839730855495034E-3</v>
      </c>
    </row>
    <row r="35" spans="1:18" x14ac:dyDescent="0.25">
      <c r="A35" s="14">
        <v>44214</v>
      </c>
      <c r="B35" t="s">
        <v>1472</v>
      </c>
      <c r="C35" t="s">
        <v>1432</v>
      </c>
      <c r="D35">
        <v>5</v>
      </c>
      <c r="E35">
        <v>4949</v>
      </c>
      <c r="F35">
        <v>24745</v>
      </c>
      <c r="G35" t="s">
        <v>1479</v>
      </c>
      <c r="H35">
        <v>2021012</v>
      </c>
      <c r="I35" t="s">
        <v>1434</v>
      </c>
      <c r="J35" t="s">
        <v>1435</v>
      </c>
      <c r="K35" t="s">
        <v>1436</v>
      </c>
      <c r="L35">
        <v>24.33</v>
      </c>
      <c r="M35">
        <v>0.85</v>
      </c>
      <c r="N35">
        <v>0</v>
      </c>
      <c r="O35">
        <v>160.75</v>
      </c>
      <c r="P35">
        <v>185.93369999999999</v>
      </c>
      <c r="R35" s="15">
        <f t="shared" si="0"/>
        <v>7.5139907051929682E-3</v>
      </c>
    </row>
    <row r="36" spans="1:18" x14ac:dyDescent="0.25">
      <c r="A36" s="14">
        <v>44214</v>
      </c>
      <c r="B36" t="s">
        <v>1449</v>
      </c>
      <c r="C36" t="s">
        <v>1445</v>
      </c>
      <c r="D36">
        <v>20</v>
      </c>
      <c r="E36">
        <v>535</v>
      </c>
      <c r="F36">
        <v>10700</v>
      </c>
      <c r="G36" t="s">
        <v>1480</v>
      </c>
      <c r="H36">
        <v>2021012</v>
      </c>
      <c r="I36" t="s">
        <v>1434</v>
      </c>
      <c r="J36" t="s">
        <v>1435</v>
      </c>
      <c r="K36" t="s">
        <v>1436</v>
      </c>
      <c r="L36">
        <v>10.7</v>
      </c>
      <c r="M36">
        <v>0.37</v>
      </c>
      <c r="N36">
        <v>2</v>
      </c>
      <c r="O36">
        <v>69.510000000000005</v>
      </c>
      <c r="P36">
        <v>82.5792</v>
      </c>
      <c r="R36" s="15">
        <f t="shared" si="0"/>
        <v>7.7176822429906545E-3</v>
      </c>
    </row>
    <row r="37" spans="1:18" x14ac:dyDescent="0.25">
      <c r="A37" s="14">
        <v>44214</v>
      </c>
      <c r="B37" t="s">
        <v>1481</v>
      </c>
      <c r="C37" t="s">
        <v>1432</v>
      </c>
      <c r="D37">
        <v>25</v>
      </c>
      <c r="E37">
        <v>479</v>
      </c>
      <c r="F37">
        <v>11975</v>
      </c>
      <c r="G37" t="s">
        <v>1482</v>
      </c>
      <c r="H37">
        <v>2021012</v>
      </c>
      <c r="I37" t="s">
        <v>1434</v>
      </c>
      <c r="J37" t="s">
        <v>1435</v>
      </c>
      <c r="K37" t="s">
        <v>1436</v>
      </c>
      <c r="L37">
        <v>11.98</v>
      </c>
      <c r="M37">
        <v>0.41</v>
      </c>
      <c r="N37">
        <v>0</v>
      </c>
      <c r="O37">
        <v>77.790000000000006</v>
      </c>
      <c r="P37">
        <v>90.183199999999999</v>
      </c>
      <c r="R37" s="15">
        <f t="shared" si="0"/>
        <v>7.5309561586638834E-3</v>
      </c>
    </row>
    <row r="38" spans="1:18" x14ac:dyDescent="0.25">
      <c r="A38" s="14">
        <v>44211</v>
      </c>
      <c r="B38" t="s">
        <v>1440</v>
      </c>
      <c r="C38" t="s">
        <v>1432</v>
      </c>
      <c r="D38">
        <v>10</v>
      </c>
      <c r="E38">
        <v>579.5</v>
      </c>
      <c r="F38">
        <v>5795</v>
      </c>
      <c r="G38" t="s">
        <v>1483</v>
      </c>
      <c r="H38">
        <v>202021201</v>
      </c>
      <c r="I38" t="s">
        <v>1434</v>
      </c>
      <c r="J38" t="s">
        <v>1435</v>
      </c>
      <c r="K38" t="s">
        <v>1484</v>
      </c>
      <c r="L38">
        <v>6</v>
      </c>
      <c r="M38">
        <v>0.16</v>
      </c>
      <c r="N38">
        <v>0</v>
      </c>
      <c r="O38">
        <v>41.33</v>
      </c>
      <c r="P38">
        <v>47.489400000000003</v>
      </c>
      <c r="R38" s="15">
        <f t="shared" si="0"/>
        <v>8.1948921484037967E-3</v>
      </c>
    </row>
    <row r="39" spans="1:18" x14ac:dyDescent="0.25">
      <c r="A39" s="14">
        <v>44210</v>
      </c>
      <c r="B39" t="s">
        <v>1472</v>
      </c>
      <c r="C39" t="s">
        <v>1432</v>
      </c>
      <c r="D39">
        <v>5</v>
      </c>
      <c r="E39">
        <v>5211</v>
      </c>
      <c r="F39">
        <v>26055</v>
      </c>
      <c r="G39" t="s">
        <v>1485</v>
      </c>
      <c r="H39">
        <v>2021010</v>
      </c>
      <c r="I39" t="s">
        <v>1434</v>
      </c>
      <c r="J39" t="s">
        <v>1435</v>
      </c>
      <c r="K39" t="s">
        <v>1436</v>
      </c>
      <c r="L39">
        <v>26.44</v>
      </c>
      <c r="M39">
        <v>0.9</v>
      </c>
      <c r="N39">
        <v>0</v>
      </c>
      <c r="O39">
        <v>169.26</v>
      </c>
      <c r="P39">
        <v>196.59889999999999</v>
      </c>
      <c r="R39" s="15">
        <f t="shared" si="0"/>
        <v>7.5455344463634614E-3</v>
      </c>
    </row>
    <row r="40" spans="1:18" x14ac:dyDescent="0.25">
      <c r="A40" s="14">
        <v>44210</v>
      </c>
      <c r="B40" t="s">
        <v>1440</v>
      </c>
      <c r="C40" t="s">
        <v>1432</v>
      </c>
      <c r="D40">
        <v>10</v>
      </c>
      <c r="E40">
        <v>556</v>
      </c>
      <c r="F40">
        <v>5560</v>
      </c>
      <c r="G40" t="s">
        <v>1486</v>
      </c>
      <c r="H40">
        <v>2021010</v>
      </c>
      <c r="I40" t="s">
        <v>1434</v>
      </c>
      <c r="J40" t="s">
        <v>1435</v>
      </c>
      <c r="K40" t="s">
        <v>1436</v>
      </c>
      <c r="L40">
        <v>5.56</v>
      </c>
      <c r="M40">
        <v>0.19</v>
      </c>
      <c r="N40">
        <v>0</v>
      </c>
      <c r="O40">
        <v>41.33</v>
      </c>
      <c r="P40">
        <v>47.081800000000001</v>
      </c>
      <c r="R40" s="15">
        <f t="shared" si="0"/>
        <v>8.4679496402877696E-3</v>
      </c>
    </row>
    <row r="41" spans="1:18" x14ac:dyDescent="0.25">
      <c r="A41" s="14">
        <v>44209</v>
      </c>
      <c r="B41" t="s">
        <v>1487</v>
      </c>
      <c r="C41" t="s">
        <v>1432</v>
      </c>
      <c r="D41">
        <v>20</v>
      </c>
      <c r="E41">
        <v>461</v>
      </c>
      <c r="F41">
        <v>9220</v>
      </c>
      <c r="G41" t="s">
        <v>1488</v>
      </c>
      <c r="H41">
        <v>2021009</v>
      </c>
      <c r="I41" t="s">
        <v>1434</v>
      </c>
      <c r="J41" t="s">
        <v>1435</v>
      </c>
      <c r="K41" t="s">
        <v>1436</v>
      </c>
      <c r="L41">
        <v>9</v>
      </c>
      <c r="M41">
        <v>0.32</v>
      </c>
      <c r="N41">
        <v>0</v>
      </c>
      <c r="O41">
        <v>59.9</v>
      </c>
      <c r="P41">
        <v>69.218100000000007</v>
      </c>
      <c r="R41" s="15">
        <f t="shared" si="0"/>
        <v>7.5073861171366602E-3</v>
      </c>
    </row>
    <row r="42" spans="1:18" x14ac:dyDescent="0.25">
      <c r="A42" s="14">
        <v>44208</v>
      </c>
      <c r="B42" t="s">
        <v>1440</v>
      </c>
      <c r="C42" t="s">
        <v>1432</v>
      </c>
      <c r="D42">
        <v>10</v>
      </c>
      <c r="E42">
        <v>554</v>
      </c>
      <c r="F42">
        <v>5540</v>
      </c>
      <c r="G42" t="s">
        <v>1489</v>
      </c>
      <c r="H42">
        <v>2021008</v>
      </c>
      <c r="I42" t="s">
        <v>1434</v>
      </c>
      <c r="J42" t="s">
        <v>1435</v>
      </c>
      <c r="K42" t="s">
        <v>1436</v>
      </c>
      <c r="L42">
        <v>5.54</v>
      </c>
      <c r="M42">
        <v>0.19</v>
      </c>
      <c r="N42">
        <v>0</v>
      </c>
      <c r="O42">
        <v>41.33</v>
      </c>
      <c r="P42">
        <v>47.061199999999999</v>
      </c>
      <c r="R42" s="15">
        <f t="shared" si="0"/>
        <v>8.494801444043321E-3</v>
      </c>
    </row>
    <row r="43" spans="1:18" x14ac:dyDescent="0.25">
      <c r="A43" s="14">
        <v>44208</v>
      </c>
      <c r="B43" t="s">
        <v>1487</v>
      </c>
      <c r="C43" t="s">
        <v>1432</v>
      </c>
      <c r="D43">
        <v>20</v>
      </c>
      <c r="E43">
        <v>439</v>
      </c>
      <c r="F43">
        <v>8780</v>
      </c>
      <c r="G43" t="s">
        <v>1490</v>
      </c>
      <c r="H43">
        <v>2021008</v>
      </c>
      <c r="I43" t="s">
        <v>1434</v>
      </c>
      <c r="J43" t="s">
        <v>1435</v>
      </c>
      <c r="K43" t="s">
        <v>1436</v>
      </c>
      <c r="L43">
        <v>8.4600000000000009</v>
      </c>
      <c r="M43">
        <v>0.3</v>
      </c>
      <c r="N43">
        <v>0</v>
      </c>
      <c r="O43">
        <v>57.04</v>
      </c>
      <c r="P43">
        <v>65.802899999999994</v>
      </c>
      <c r="R43" s="15">
        <f t="shared" si="0"/>
        <v>7.4946355353075166E-3</v>
      </c>
    </row>
    <row r="44" spans="1:18" x14ac:dyDescent="0.25">
      <c r="A44" s="14">
        <v>44202</v>
      </c>
      <c r="B44" t="s">
        <v>1451</v>
      </c>
      <c r="C44" t="s">
        <v>1445</v>
      </c>
      <c r="D44">
        <v>30</v>
      </c>
      <c r="E44">
        <v>416.87</v>
      </c>
      <c r="F44">
        <v>12506.15</v>
      </c>
      <c r="G44" t="s">
        <v>1491</v>
      </c>
      <c r="H44">
        <v>202021194</v>
      </c>
      <c r="I44" t="s">
        <v>1434</v>
      </c>
      <c r="J44" t="s">
        <v>1435</v>
      </c>
      <c r="K44" t="s">
        <v>1484</v>
      </c>
      <c r="L44">
        <v>12.66</v>
      </c>
      <c r="M44">
        <v>0.34</v>
      </c>
      <c r="N44">
        <v>2</v>
      </c>
      <c r="O44">
        <v>81.23</v>
      </c>
      <c r="P44">
        <v>96.233800000000002</v>
      </c>
      <c r="R44" s="15">
        <f t="shared" si="0"/>
        <v>7.6949181002946556E-3</v>
      </c>
    </row>
    <row r="45" spans="1:18" x14ac:dyDescent="0.25">
      <c r="A45" s="14">
        <v>44202</v>
      </c>
      <c r="B45" t="s">
        <v>1472</v>
      </c>
      <c r="C45" t="s">
        <v>1432</v>
      </c>
      <c r="D45">
        <v>5</v>
      </c>
      <c r="E45">
        <v>5268</v>
      </c>
      <c r="F45">
        <v>26340</v>
      </c>
      <c r="G45" t="s">
        <v>1492</v>
      </c>
      <c r="H45">
        <v>202021194</v>
      </c>
      <c r="I45" t="s">
        <v>1434</v>
      </c>
      <c r="J45" t="s">
        <v>1435</v>
      </c>
      <c r="K45" t="s">
        <v>1484</v>
      </c>
      <c r="L45">
        <v>26.34</v>
      </c>
      <c r="M45">
        <v>0.72</v>
      </c>
      <c r="N45">
        <v>0</v>
      </c>
      <c r="O45">
        <v>171.08</v>
      </c>
      <c r="P45">
        <v>198.14439999999999</v>
      </c>
      <c r="R45" s="15">
        <f t="shared" si="0"/>
        <v>7.5225664388762336E-3</v>
      </c>
    </row>
    <row r="46" spans="1:18" x14ac:dyDescent="0.25">
      <c r="A46" s="14">
        <v>44202</v>
      </c>
      <c r="B46" t="s">
        <v>1472</v>
      </c>
      <c r="C46" t="s">
        <v>1432</v>
      </c>
      <c r="D46">
        <v>5</v>
      </c>
      <c r="E46">
        <v>5322.1</v>
      </c>
      <c r="F46">
        <v>26610.5</v>
      </c>
      <c r="G46" t="s">
        <v>1493</v>
      </c>
      <c r="H46">
        <v>2021004</v>
      </c>
      <c r="I46" t="s">
        <v>1434</v>
      </c>
      <c r="J46" t="s">
        <v>1435</v>
      </c>
      <c r="K46" t="s">
        <v>1436</v>
      </c>
      <c r="L46">
        <v>26.61</v>
      </c>
      <c r="M46">
        <v>0.92</v>
      </c>
      <c r="N46">
        <v>0</v>
      </c>
      <c r="O46">
        <v>172.87</v>
      </c>
      <c r="P46">
        <v>200.3981</v>
      </c>
      <c r="R46" s="15">
        <f t="shared" si="0"/>
        <v>7.5307904774431144E-3</v>
      </c>
    </row>
    <row r="47" spans="1:18" x14ac:dyDescent="0.25">
      <c r="A47" s="14">
        <v>44202</v>
      </c>
      <c r="B47" t="s">
        <v>1494</v>
      </c>
      <c r="C47" t="s">
        <v>1432</v>
      </c>
      <c r="D47">
        <v>5</v>
      </c>
      <c r="E47">
        <v>3869</v>
      </c>
      <c r="F47">
        <v>19345</v>
      </c>
      <c r="G47" t="s">
        <v>1495</v>
      </c>
      <c r="H47">
        <v>2021004</v>
      </c>
      <c r="I47" t="s">
        <v>1434</v>
      </c>
      <c r="J47" t="s">
        <v>1435</v>
      </c>
      <c r="K47" t="s">
        <v>1436</v>
      </c>
      <c r="L47">
        <v>19.18</v>
      </c>
      <c r="M47">
        <v>0.67</v>
      </c>
      <c r="N47">
        <v>0</v>
      </c>
      <c r="O47">
        <v>125.67</v>
      </c>
      <c r="P47">
        <v>145.51740000000001</v>
      </c>
      <c r="R47" s="15">
        <f t="shared" si="0"/>
        <v>7.5222227965882661E-3</v>
      </c>
    </row>
    <row r="48" spans="1:18" x14ac:dyDescent="0.25">
      <c r="A48" s="14">
        <v>44202</v>
      </c>
      <c r="B48" t="s">
        <v>1496</v>
      </c>
      <c r="C48" t="s">
        <v>1445</v>
      </c>
      <c r="D48">
        <v>10</v>
      </c>
      <c r="E48">
        <v>1420.5</v>
      </c>
      <c r="F48">
        <v>14205</v>
      </c>
      <c r="G48" t="s">
        <v>1497</v>
      </c>
      <c r="H48">
        <v>2021004</v>
      </c>
      <c r="I48" t="s">
        <v>1434</v>
      </c>
      <c r="J48" t="s">
        <v>1435</v>
      </c>
      <c r="K48" t="s">
        <v>1436</v>
      </c>
      <c r="L48">
        <v>14.21</v>
      </c>
      <c r="M48">
        <v>0.49</v>
      </c>
      <c r="N48">
        <v>2</v>
      </c>
      <c r="O48">
        <v>92.28</v>
      </c>
      <c r="P48">
        <v>108.98009999999999</v>
      </c>
      <c r="R48" s="15">
        <f t="shared" si="0"/>
        <v>7.6719535374868003E-3</v>
      </c>
    </row>
    <row r="49" spans="1:18" x14ac:dyDescent="0.25">
      <c r="A49" s="14">
        <v>44195</v>
      </c>
      <c r="B49" t="s">
        <v>1440</v>
      </c>
      <c r="C49" t="s">
        <v>1432</v>
      </c>
      <c r="D49">
        <v>50</v>
      </c>
      <c r="E49">
        <v>561</v>
      </c>
      <c r="F49">
        <v>28050</v>
      </c>
      <c r="G49" t="s">
        <v>1498</v>
      </c>
      <c r="H49">
        <v>2020251</v>
      </c>
      <c r="I49" t="s">
        <v>1434</v>
      </c>
      <c r="J49" t="s">
        <v>1435</v>
      </c>
      <c r="K49" t="s">
        <v>1436</v>
      </c>
      <c r="L49">
        <v>28</v>
      </c>
      <c r="M49">
        <v>0.97</v>
      </c>
      <c r="N49">
        <v>0</v>
      </c>
      <c r="O49">
        <v>182.22</v>
      </c>
      <c r="P49">
        <v>211.18770000000001</v>
      </c>
      <c r="R49" s="15">
        <f t="shared" si="0"/>
        <v>7.5289732620320857E-3</v>
      </c>
    </row>
    <row r="50" spans="1:18" x14ac:dyDescent="0.25">
      <c r="A50" s="14">
        <v>44187</v>
      </c>
      <c r="B50" t="s">
        <v>1499</v>
      </c>
      <c r="C50" t="s">
        <v>1432</v>
      </c>
      <c r="D50">
        <v>5</v>
      </c>
      <c r="E50">
        <v>2559</v>
      </c>
      <c r="F50">
        <v>12795</v>
      </c>
      <c r="G50" t="s">
        <v>1500</v>
      </c>
      <c r="H50">
        <v>2020246</v>
      </c>
      <c r="I50" t="s">
        <v>1434</v>
      </c>
      <c r="J50" t="s">
        <v>1435</v>
      </c>
      <c r="K50" t="s">
        <v>1436</v>
      </c>
      <c r="L50">
        <v>13</v>
      </c>
      <c r="M50">
        <v>0.44</v>
      </c>
      <c r="N50">
        <v>0</v>
      </c>
      <c r="O50">
        <v>83.12</v>
      </c>
      <c r="P50">
        <v>96.561400000000006</v>
      </c>
      <c r="R50" s="15">
        <f t="shared" si="0"/>
        <v>7.5468073466197737E-3</v>
      </c>
    </row>
    <row r="51" spans="1:18" x14ac:dyDescent="0.25">
      <c r="A51" s="14">
        <v>44186</v>
      </c>
      <c r="B51" t="s">
        <v>1458</v>
      </c>
      <c r="C51" t="s">
        <v>1445</v>
      </c>
      <c r="D51">
        <v>5</v>
      </c>
      <c r="E51">
        <v>2751</v>
      </c>
      <c r="F51">
        <v>13755</v>
      </c>
      <c r="G51" t="s">
        <v>1501</v>
      </c>
      <c r="H51">
        <v>202021183</v>
      </c>
      <c r="I51" t="s">
        <v>1434</v>
      </c>
      <c r="J51" t="s">
        <v>1435</v>
      </c>
      <c r="K51" t="s">
        <v>1484</v>
      </c>
      <c r="L51">
        <v>14</v>
      </c>
      <c r="M51">
        <v>0.38</v>
      </c>
      <c r="N51">
        <v>2</v>
      </c>
      <c r="O51">
        <v>89.34</v>
      </c>
      <c r="P51">
        <v>105.7183</v>
      </c>
      <c r="R51" s="15">
        <f t="shared" si="0"/>
        <v>7.6858087968011629E-3</v>
      </c>
    </row>
    <row r="52" spans="1:18" x14ac:dyDescent="0.25">
      <c r="A52" s="14">
        <v>44186</v>
      </c>
      <c r="B52" t="s">
        <v>1451</v>
      </c>
      <c r="C52" t="s">
        <v>1445</v>
      </c>
      <c r="D52">
        <v>25</v>
      </c>
      <c r="E52">
        <v>394.72</v>
      </c>
      <c r="F52">
        <v>9868.1</v>
      </c>
      <c r="G52" t="s">
        <v>1502</v>
      </c>
      <c r="H52">
        <v>2020245</v>
      </c>
      <c r="I52" t="s">
        <v>1434</v>
      </c>
      <c r="J52" t="s">
        <v>1435</v>
      </c>
      <c r="K52" t="s">
        <v>1436</v>
      </c>
      <c r="L52">
        <v>10</v>
      </c>
      <c r="M52">
        <v>0.34</v>
      </c>
      <c r="N52">
        <v>1</v>
      </c>
      <c r="O52">
        <v>64.099999999999994</v>
      </c>
      <c r="P52">
        <v>75.4405</v>
      </c>
      <c r="R52" s="15">
        <f t="shared" si="0"/>
        <v>7.6448860469593939E-3</v>
      </c>
    </row>
    <row r="53" spans="1:18" x14ac:dyDescent="0.25">
      <c r="A53" s="14">
        <v>44183</v>
      </c>
      <c r="B53" t="s">
        <v>1472</v>
      </c>
      <c r="C53" t="s">
        <v>1432</v>
      </c>
      <c r="D53">
        <v>5</v>
      </c>
      <c r="E53">
        <v>4565</v>
      </c>
      <c r="F53">
        <v>22825</v>
      </c>
      <c r="G53" t="s">
        <v>1503</v>
      </c>
      <c r="H53">
        <v>2020244</v>
      </c>
      <c r="I53" t="s">
        <v>1434</v>
      </c>
      <c r="J53" t="s">
        <v>1435</v>
      </c>
      <c r="K53" t="s">
        <v>1436</v>
      </c>
      <c r="L53">
        <v>22.83</v>
      </c>
      <c r="M53">
        <v>0.79</v>
      </c>
      <c r="N53">
        <v>0</v>
      </c>
      <c r="O53">
        <v>148.28</v>
      </c>
      <c r="P53">
        <v>171.89750000000001</v>
      </c>
      <c r="R53" s="15">
        <f t="shared" si="0"/>
        <v>7.5311062431544359E-3</v>
      </c>
    </row>
    <row r="54" spans="1:18" x14ac:dyDescent="0.25">
      <c r="A54" s="14">
        <v>44183</v>
      </c>
      <c r="B54" t="s">
        <v>1504</v>
      </c>
      <c r="C54" t="s">
        <v>1432</v>
      </c>
      <c r="D54">
        <v>5</v>
      </c>
      <c r="E54">
        <v>2794</v>
      </c>
      <c r="F54">
        <v>13970</v>
      </c>
      <c r="G54" t="s">
        <v>1505</v>
      </c>
      <c r="H54">
        <v>2020244</v>
      </c>
      <c r="I54" t="s">
        <v>1434</v>
      </c>
      <c r="J54" t="s">
        <v>1435</v>
      </c>
      <c r="K54" t="s">
        <v>1436</v>
      </c>
      <c r="L54">
        <v>13.49</v>
      </c>
      <c r="M54">
        <v>0.48</v>
      </c>
      <c r="N54">
        <v>0</v>
      </c>
      <c r="O54">
        <v>90.75</v>
      </c>
      <c r="P54">
        <v>104.72199999999999</v>
      </c>
      <c r="R54" s="15">
        <f t="shared" si="0"/>
        <v>7.4962061560486749E-3</v>
      </c>
    </row>
    <row r="55" spans="1:18" x14ac:dyDescent="0.25">
      <c r="A55" s="14">
        <v>44183</v>
      </c>
      <c r="B55" t="s">
        <v>1506</v>
      </c>
      <c r="C55" t="s">
        <v>1432</v>
      </c>
      <c r="D55">
        <v>100</v>
      </c>
      <c r="E55">
        <v>156.9</v>
      </c>
      <c r="F55">
        <v>15690</v>
      </c>
      <c r="G55" t="s">
        <v>1507</v>
      </c>
      <c r="H55">
        <v>2020244</v>
      </c>
      <c r="I55" t="s">
        <v>1434</v>
      </c>
      <c r="J55" t="s">
        <v>1435</v>
      </c>
      <c r="K55" t="s">
        <v>1436</v>
      </c>
      <c r="L55">
        <v>15.69</v>
      </c>
      <c r="M55">
        <v>0.54</v>
      </c>
      <c r="N55">
        <v>0</v>
      </c>
      <c r="O55">
        <v>101.93</v>
      </c>
      <c r="P55">
        <v>118.1613</v>
      </c>
      <c r="R55" s="15">
        <f t="shared" si="0"/>
        <v>7.5309942638623322E-3</v>
      </c>
    </row>
    <row r="56" spans="1:18" x14ac:dyDescent="0.25">
      <c r="A56" s="14">
        <v>44182</v>
      </c>
      <c r="B56" t="s">
        <v>1447</v>
      </c>
      <c r="C56" t="s">
        <v>1445</v>
      </c>
      <c r="D56">
        <v>5</v>
      </c>
      <c r="E56">
        <v>1895</v>
      </c>
      <c r="F56">
        <v>9475</v>
      </c>
      <c r="G56" t="s">
        <v>1508</v>
      </c>
      <c r="H56">
        <v>202021181</v>
      </c>
      <c r="I56" t="s">
        <v>1434</v>
      </c>
      <c r="J56" t="s">
        <v>1435</v>
      </c>
      <c r="K56" t="s">
        <v>1484</v>
      </c>
      <c r="L56">
        <v>9</v>
      </c>
      <c r="M56">
        <v>0.26</v>
      </c>
      <c r="N56">
        <v>1</v>
      </c>
      <c r="O56">
        <v>61.54</v>
      </c>
      <c r="P56">
        <v>71.8005</v>
      </c>
      <c r="R56" s="15">
        <f t="shared" si="0"/>
        <v>7.5778891820580474E-3</v>
      </c>
    </row>
    <row r="57" spans="1:18" x14ac:dyDescent="0.25">
      <c r="A57" s="14">
        <v>44182</v>
      </c>
      <c r="B57" t="s">
        <v>1504</v>
      </c>
      <c r="C57" t="s">
        <v>1432</v>
      </c>
      <c r="D57">
        <v>5</v>
      </c>
      <c r="E57">
        <v>2885</v>
      </c>
      <c r="F57">
        <v>14425</v>
      </c>
      <c r="G57" t="s">
        <v>1509</v>
      </c>
      <c r="H57">
        <v>2020243</v>
      </c>
      <c r="I57" t="s">
        <v>1434</v>
      </c>
      <c r="J57" t="s">
        <v>1435</v>
      </c>
      <c r="K57" t="s">
        <v>1436</v>
      </c>
      <c r="L57">
        <v>14</v>
      </c>
      <c r="M57">
        <v>0.5</v>
      </c>
      <c r="N57">
        <v>0</v>
      </c>
      <c r="O57">
        <v>93.71</v>
      </c>
      <c r="P57">
        <v>108.2077</v>
      </c>
      <c r="R57" s="15">
        <f t="shared" si="0"/>
        <v>7.5014003466204512E-3</v>
      </c>
    </row>
    <row r="58" spans="1:18" x14ac:dyDescent="0.25">
      <c r="A58" s="14">
        <v>44181</v>
      </c>
      <c r="B58" t="s">
        <v>1499</v>
      </c>
      <c r="C58" t="s">
        <v>1432</v>
      </c>
      <c r="D58">
        <v>5</v>
      </c>
      <c r="E58">
        <v>2585</v>
      </c>
      <c r="F58">
        <v>12925</v>
      </c>
      <c r="G58" t="s">
        <v>1510</v>
      </c>
      <c r="H58">
        <v>202021180</v>
      </c>
      <c r="I58" t="s">
        <v>1434</v>
      </c>
      <c r="J58" t="s">
        <v>1435</v>
      </c>
      <c r="K58" t="s">
        <v>1484</v>
      </c>
      <c r="L58">
        <v>13.01</v>
      </c>
      <c r="M58">
        <v>0.36</v>
      </c>
      <c r="N58">
        <v>0</v>
      </c>
      <c r="O58">
        <v>83.95</v>
      </c>
      <c r="P58">
        <v>97.3155</v>
      </c>
      <c r="R58" s="15">
        <f t="shared" si="0"/>
        <v>7.5292456479690521E-3</v>
      </c>
    </row>
    <row r="59" spans="1:18" x14ac:dyDescent="0.25">
      <c r="A59" s="14">
        <v>44181</v>
      </c>
      <c r="B59" t="s">
        <v>1472</v>
      </c>
      <c r="C59" t="s">
        <v>1432</v>
      </c>
      <c r="D59">
        <v>5</v>
      </c>
      <c r="E59">
        <v>4598</v>
      </c>
      <c r="F59">
        <v>22990</v>
      </c>
      <c r="G59" t="s">
        <v>1511</v>
      </c>
      <c r="H59">
        <v>202021180</v>
      </c>
      <c r="I59" t="s">
        <v>1434</v>
      </c>
      <c r="J59" t="s">
        <v>1435</v>
      </c>
      <c r="K59" t="s">
        <v>1484</v>
      </c>
      <c r="L59">
        <v>22.99</v>
      </c>
      <c r="M59">
        <v>0.63</v>
      </c>
      <c r="N59">
        <v>0</v>
      </c>
      <c r="O59">
        <v>149.32</v>
      </c>
      <c r="P59">
        <v>172.94220000000001</v>
      </c>
      <c r="R59" s="15">
        <f t="shared" si="0"/>
        <v>7.5224967377120495E-3</v>
      </c>
    </row>
    <row r="60" spans="1:18" x14ac:dyDescent="0.25">
      <c r="A60" s="14">
        <v>44181</v>
      </c>
      <c r="B60" t="s">
        <v>1512</v>
      </c>
      <c r="C60" t="s">
        <v>1432</v>
      </c>
      <c r="D60">
        <v>5</v>
      </c>
      <c r="E60">
        <v>1503.9</v>
      </c>
      <c r="F60">
        <v>7519.5</v>
      </c>
      <c r="G60" t="s">
        <v>1513</v>
      </c>
      <c r="H60">
        <v>2020242</v>
      </c>
      <c r="I60" t="s">
        <v>1434</v>
      </c>
      <c r="J60" t="s">
        <v>1435</v>
      </c>
      <c r="K60" t="s">
        <v>1436</v>
      </c>
      <c r="L60">
        <v>8</v>
      </c>
      <c r="M60">
        <v>0.26</v>
      </c>
      <c r="N60">
        <v>0</v>
      </c>
      <c r="O60">
        <v>48.85</v>
      </c>
      <c r="P60">
        <v>57.109499999999997</v>
      </c>
      <c r="R60" s="15">
        <f t="shared" si="0"/>
        <v>7.5948533812088565E-3</v>
      </c>
    </row>
    <row r="61" spans="1:18" x14ac:dyDescent="0.25">
      <c r="A61" s="14">
        <v>44180</v>
      </c>
      <c r="B61" t="s">
        <v>1451</v>
      </c>
      <c r="C61" t="s">
        <v>1445</v>
      </c>
      <c r="D61">
        <v>20</v>
      </c>
      <c r="E61">
        <v>409.1</v>
      </c>
      <c r="F61">
        <v>8182</v>
      </c>
      <c r="G61" t="s">
        <v>1514</v>
      </c>
      <c r="H61">
        <v>202021179</v>
      </c>
      <c r="I61" t="s">
        <v>1434</v>
      </c>
      <c r="J61" t="s">
        <v>1435</v>
      </c>
      <c r="K61" t="s">
        <v>1484</v>
      </c>
      <c r="L61">
        <v>8</v>
      </c>
      <c r="M61">
        <v>0.23</v>
      </c>
      <c r="N61">
        <v>1</v>
      </c>
      <c r="O61">
        <v>53.14</v>
      </c>
      <c r="P61">
        <v>62.365000000000002</v>
      </c>
      <c r="R61" s="15">
        <f t="shared" si="0"/>
        <v>7.6222195062331946E-3</v>
      </c>
    </row>
    <row r="62" spans="1:18" x14ac:dyDescent="0.25">
      <c r="A62" s="14">
        <v>44179</v>
      </c>
      <c r="B62" t="s">
        <v>1440</v>
      </c>
      <c r="C62" t="s">
        <v>1432</v>
      </c>
      <c r="D62">
        <v>50</v>
      </c>
      <c r="E62">
        <v>578.79999999999995</v>
      </c>
      <c r="F62">
        <v>28940</v>
      </c>
      <c r="G62" t="s">
        <v>1515</v>
      </c>
      <c r="H62">
        <v>2020240</v>
      </c>
      <c r="I62" t="s">
        <v>1434</v>
      </c>
      <c r="J62" t="s">
        <v>1435</v>
      </c>
      <c r="K62" t="s">
        <v>1436</v>
      </c>
      <c r="L62">
        <v>29</v>
      </c>
      <c r="M62">
        <v>1</v>
      </c>
      <c r="N62">
        <v>0</v>
      </c>
      <c r="O62">
        <v>188</v>
      </c>
      <c r="P62">
        <v>217.99850000000001</v>
      </c>
      <c r="R62" s="15">
        <f t="shared" si="0"/>
        <v>7.5327747062888736E-3</v>
      </c>
    </row>
    <row r="63" spans="1:18" x14ac:dyDescent="0.25">
      <c r="A63" s="14">
        <v>44172</v>
      </c>
      <c r="B63" t="s">
        <v>1440</v>
      </c>
      <c r="C63" t="s">
        <v>1432</v>
      </c>
      <c r="D63">
        <v>50</v>
      </c>
      <c r="E63">
        <v>548</v>
      </c>
      <c r="F63">
        <v>27400</v>
      </c>
      <c r="G63" t="s">
        <v>1516</v>
      </c>
      <c r="H63">
        <v>2020235</v>
      </c>
      <c r="I63" t="s">
        <v>1434</v>
      </c>
      <c r="J63" t="s">
        <v>1435</v>
      </c>
      <c r="K63" t="s">
        <v>1436</v>
      </c>
      <c r="L63">
        <v>27</v>
      </c>
      <c r="M63">
        <v>0.95</v>
      </c>
      <c r="N63">
        <v>0</v>
      </c>
      <c r="O63">
        <v>178</v>
      </c>
      <c r="P63">
        <v>205.9453</v>
      </c>
      <c r="R63" s="15">
        <f t="shared" si="0"/>
        <v>7.5162518248175179E-3</v>
      </c>
    </row>
    <row r="64" spans="1:18" x14ac:dyDescent="0.25">
      <c r="A64" s="14">
        <v>44167</v>
      </c>
      <c r="B64" t="s">
        <v>1431</v>
      </c>
      <c r="C64" t="s">
        <v>1432</v>
      </c>
      <c r="D64">
        <v>50</v>
      </c>
      <c r="E64">
        <v>184.25</v>
      </c>
      <c r="F64">
        <v>9212.5</v>
      </c>
      <c r="G64" t="s">
        <v>1517</v>
      </c>
      <c r="H64">
        <v>2020232</v>
      </c>
      <c r="I64" t="s">
        <v>1434</v>
      </c>
      <c r="J64" t="s">
        <v>1435</v>
      </c>
      <c r="K64" t="s">
        <v>1436</v>
      </c>
      <c r="L64">
        <v>9.2100000000000009</v>
      </c>
      <c r="M64">
        <v>0.32</v>
      </c>
      <c r="N64">
        <v>0</v>
      </c>
      <c r="O64">
        <v>59.85</v>
      </c>
      <c r="P64">
        <v>69.377799999999993</v>
      </c>
      <c r="R64" s="15">
        <f t="shared" si="0"/>
        <v>7.5308331071913155E-3</v>
      </c>
    </row>
    <row r="65" spans="1:18" x14ac:dyDescent="0.25">
      <c r="A65" s="14">
        <v>44167</v>
      </c>
      <c r="B65" t="s">
        <v>1518</v>
      </c>
      <c r="C65" t="s">
        <v>1432</v>
      </c>
      <c r="D65">
        <v>10</v>
      </c>
      <c r="E65">
        <v>898.3</v>
      </c>
      <c r="F65">
        <v>8983</v>
      </c>
      <c r="G65" t="s">
        <v>1519</v>
      </c>
      <c r="H65">
        <v>2020232</v>
      </c>
      <c r="I65" t="s">
        <v>1434</v>
      </c>
      <c r="J65" t="s">
        <v>1435</v>
      </c>
      <c r="K65" t="s">
        <v>1436</v>
      </c>
      <c r="L65">
        <v>8.7899999999999991</v>
      </c>
      <c r="M65">
        <v>0.31</v>
      </c>
      <c r="N65">
        <v>0</v>
      </c>
      <c r="O65">
        <v>58.36</v>
      </c>
      <c r="P65">
        <v>67.459900000000005</v>
      </c>
      <c r="R65" s="15">
        <f t="shared" si="0"/>
        <v>7.5097294890348444E-3</v>
      </c>
    </row>
    <row r="66" spans="1:18" x14ac:dyDescent="0.25">
      <c r="A66" s="14">
        <v>44166</v>
      </c>
      <c r="B66" t="s">
        <v>1518</v>
      </c>
      <c r="C66" t="s">
        <v>1432</v>
      </c>
      <c r="D66">
        <v>10</v>
      </c>
      <c r="E66">
        <v>888.2</v>
      </c>
      <c r="F66">
        <v>8882</v>
      </c>
      <c r="G66" t="s">
        <v>1520</v>
      </c>
      <c r="H66">
        <v>2020231</v>
      </c>
      <c r="I66" t="s">
        <v>1434</v>
      </c>
      <c r="J66" t="s">
        <v>1435</v>
      </c>
      <c r="K66" t="s">
        <v>1436</v>
      </c>
      <c r="L66">
        <v>8.8800000000000008</v>
      </c>
      <c r="M66">
        <v>0.31</v>
      </c>
      <c r="N66">
        <v>0</v>
      </c>
      <c r="O66">
        <v>57.7</v>
      </c>
      <c r="P66">
        <v>66.886399999999995</v>
      </c>
      <c r="R66" s="15">
        <f t="shared" si="0"/>
        <v>7.5305561810403059E-3</v>
      </c>
    </row>
    <row r="67" spans="1:18" x14ac:dyDescent="0.25">
      <c r="A67" s="14">
        <v>44166</v>
      </c>
      <c r="B67" t="s">
        <v>1521</v>
      </c>
      <c r="C67" t="s">
        <v>1432</v>
      </c>
      <c r="D67">
        <v>10</v>
      </c>
      <c r="E67">
        <v>539</v>
      </c>
      <c r="F67">
        <v>5390</v>
      </c>
      <c r="G67" t="s">
        <v>1522</v>
      </c>
      <c r="H67">
        <v>2020231</v>
      </c>
      <c r="I67" t="s">
        <v>1434</v>
      </c>
      <c r="J67" t="s">
        <v>1435</v>
      </c>
      <c r="K67" t="s">
        <v>1436</v>
      </c>
      <c r="L67">
        <v>5.39</v>
      </c>
      <c r="M67">
        <v>0.19</v>
      </c>
      <c r="N67">
        <v>0</v>
      </c>
      <c r="O67">
        <v>41.33</v>
      </c>
      <c r="P67">
        <v>46.905999999999999</v>
      </c>
      <c r="R67" s="15">
        <f t="shared" ref="R67:R130" si="1">P67/F67</f>
        <v>8.7024118738404446E-3</v>
      </c>
    </row>
    <row r="68" spans="1:18" x14ac:dyDescent="0.25">
      <c r="A68" s="14">
        <v>44166</v>
      </c>
      <c r="B68" t="s">
        <v>1431</v>
      </c>
      <c r="C68" t="s">
        <v>1432</v>
      </c>
      <c r="D68">
        <v>50</v>
      </c>
      <c r="E68">
        <v>179.5</v>
      </c>
      <c r="F68">
        <v>8975</v>
      </c>
      <c r="G68" t="s">
        <v>1523</v>
      </c>
      <c r="H68">
        <v>2020231</v>
      </c>
      <c r="I68" t="s">
        <v>1434</v>
      </c>
      <c r="J68" t="s">
        <v>1435</v>
      </c>
      <c r="K68" t="s">
        <v>1436</v>
      </c>
      <c r="L68">
        <v>8.98</v>
      </c>
      <c r="M68">
        <v>0.31</v>
      </c>
      <c r="N68">
        <v>0</v>
      </c>
      <c r="O68">
        <v>58.3</v>
      </c>
      <c r="P68">
        <v>67.589699999999993</v>
      </c>
      <c r="R68" s="15">
        <f t="shared" si="1"/>
        <v>7.530885793871866E-3</v>
      </c>
    </row>
    <row r="69" spans="1:18" x14ac:dyDescent="0.25">
      <c r="A69" s="14">
        <v>44166</v>
      </c>
      <c r="B69" t="s">
        <v>1458</v>
      </c>
      <c r="C69" t="s">
        <v>1445</v>
      </c>
      <c r="D69">
        <v>5</v>
      </c>
      <c r="E69">
        <v>2511</v>
      </c>
      <c r="F69">
        <v>12555</v>
      </c>
      <c r="G69" t="s">
        <v>1524</v>
      </c>
      <c r="H69">
        <v>2020231</v>
      </c>
      <c r="I69" t="s">
        <v>1434</v>
      </c>
      <c r="J69" t="s">
        <v>1435</v>
      </c>
      <c r="K69" t="s">
        <v>1436</v>
      </c>
      <c r="L69">
        <v>12.56</v>
      </c>
      <c r="M69">
        <v>0.43</v>
      </c>
      <c r="N69">
        <v>2</v>
      </c>
      <c r="O69">
        <v>81.56</v>
      </c>
      <c r="P69">
        <v>96.553200000000004</v>
      </c>
      <c r="R69" s="15">
        <f t="shared" si="1"/>
        <v>7.6904181600955801E-3</v>
      </c>
    </row>
    <row r="70" spans="1:18" x14ac:dyDescent="0.25">
      <c r="A70" s="14">
        <v>44166</v>
      </c>
      <c r="B70" t="s">
        <v>1440</v>
      </c>
      <c r="C70" t="s">
        <v>1432</v>
      </c>
      <c r="D70">
        <v>50</v>
      </c>
      <c r="E70">
        <v>551.5</v>
      </c>
      <c r="F70">
        <v>27575</v>
      </c>
      <c r="G70" t="s">
        <v>1525</v>
      </c>
      <c r="H70">
        <v>2020231</v>
      </c>
      <c r="I70" t="s">
        <v>1434</v>
      </c>
      <c r="J70" t="s">
        <v>1435</v>
      </c>
      <c r="K70" t="s">
        <v>1436</v>
      </c>
      <c r="L70">
        <v>27.2</v>
      </c>
      <c r="M70">
        <v>0.95</v>
      </c>
      <c r="N70">
        <v>0</v>
      </c>
      <c r="O70">
        <v>179.13</v>
      </c>
      <c r="P70">
        <v>207.28139999999999</v>
      </c>
      <c r="R70" s="15">
        <f t="shared" si="1"/>
        <v>7.5170045330915682E-3</v>
      </c>
    </row>
    <row r="71" spans="1:18" x14ac:dyDescent="0.25">
      <c r="A71" s="14">
        <v>44162</v>
      </c>
      <c r="B71" t="s">
        <v>1518</v>
      </c>
      <c r="C71" t="s">
        <v>1432</v>
      </c>
      <c r="D71">
        <v>10</v>
      </c>
      <c r="E71">
        <v>857.95</v>
      </c>
      <c r="F71">
        <v>8579.5</v>
      </c>
      <c r="G71" t="s">
        <v>1526</v>
      </c>
      <c r="H71">
        <v>202021168</v>
      </c>
      <c r="I71" t="s">
        <v>1434</v>
      </c>
      <c r="J71" t="s">
        <v>1435</v>
      </c>
      <c r="K71" t="s">
        <v>1484</v>
      </c>
      <c r="L71">
        <v>9</v>
      </c>
      <c r="M71">
        <v>0.24</v>
      </c>
      <c r="N71">
        <v>0</v>
      </c>
      <c r="O71">
        <v>55.72</v>
      </c>
      <c r="P71">
        <v>64.9559</v>
      </c>
      <c r="R71" s="15">
        <f t="shared" si="1"/>
        <v>7.5710589195174547E-3</v>
      </c>
    </row>
    <row r="72" spans="1:18" x14ac:dyDescent="0.25">
      <c r="A72" s="14">
        <v>44162</v>
      </c>
      <c r="B72" t="s">
        <v>1481</v>
      </c>
      <c r="C72" t="s">
        <v>1432</v>
      </c>
      <c r="D72">
        <v>20</v>
      </c>
      <c r="E72">
        <v>450</v>
      </c>
      <c r="F72">
        <v>9000</v>
      </c>
      <c r="G72" t="s">
        <v>1527</v>
      </c>
      <c r="H72">
        <v>2020230</v>
      </c>
      <c r="I72" t="s">
        <v>1434</v>
      </c>
      <c r="J72" t="s">
        <v>1435</v>
      </c>
      <c r="K72" t="s">
        <v>1436</v>
      </c>
      <c r="L72">
        <v>9</v>
      </c>
      <c r="M72">
        <v>0.31</v>
      </c>
      <c r="N72">
        <v>0</v>
      </c>
      <c r="O72">
        <v>58.47</v>
      </c>
      <c r="P72">
        <v>67.780500000000004</v>
      </c>
      <c r="R72" s="15">
        <f t="shared" si="1"/>
        <v>7.5311666666666669E-3</v>
      </c>
    </row>
    <row r="73" spans="1:18" x14ac:dyDescent="0.25">
      <c r="A73" s="14">
        <v>44161</v>
      </c>
      <c r="B73" t="s">
        <v>1506</v>
      </c>
      <c r="C73" t="s">
        <v>1432</v>
      </c>
      <c r="D73">
        <v>100</v>
      </c>
      <c r="E73">
        <v>144.19999999999999</v>
      </c>
      <c r="F73">
        <v>14420</v>
      </c>
      <c r="G73" t="s">
        <v>1528</v>
      </c>
      <c r="H73">
        <v>2020229</v>
      </c>
      <c r="I73" t="s">
        <v>1434</v>
      </c>
      <c r="J73" t="s">
        <v>1435</v>
      </c>
      <c r="K73" t="s">
        <v>1436</v>
      </c>
      <c r="L73">
        <v>14.42</v>
      </c>
      <c r="M73">
        <v>0.5</v>
      </c>
      <c r="N73">
        <v>0</v>
      </c>
      <c r="O73">
        <v>93.68</v>
      </c>
      <c r="P73">
        <v>108.5975</v>
      </c>
      <c r="R73" s="15">
        <f t="shared" si="1"/>
        <v>7.5310332871012476E-3</v>
      </c>
    </row>
    <row r="74" spans="1:18" x14ac:dyDescent="0.25">
      <c r="A74" s="14">
        <v>44161</v>
      </c>
      <c r="B74" t="s">
        <v>1440</v>
      </c>
      <c r="C74" t="s">
        <v>1432</v>
      </c>
      <c r="D74">
        <v>50</v>
      </c>
      <c r="E74">
        <v>548.55999999999995</v>
      </c>
      <c r="F74">
        <v>27428</v>
      </c>
      <c r="G74" t="s">
        <v>1529</v>
      </c>
      <c r="H74">
        <v>2020229</v>
      </c>
      <c r="I74" t="s">
        <v>1434</v>
      </c>
      <c r="J74" t="s">
        <v>1435</v>
      </c>
      <c r="K74" t="s">
        <v>1436</v>
      </c>
      <c r="L74">
        <v>27.08</v>
      </c>
      <c r="M74">
        <v>0.95</v>
      </c>
      <c r="N74">
        <v>0</v>
      </c>
      <c r="O74">
        <v>178.18</v>
      </c>
      <c r="P74">
        <v>206.2063</v>
      </c>
      <c r="R74" s="15">
        <f t="shared" si="1"/>
        <v>7.5180946478051623E-3</v>
      </c>
    </row>
    <row r="75" spans="1:18" x14ac:dyDescent="0.25">
      <c r="A75" s="14">
        <v>44161</v>
      </c>
      <c r="B75" t="s">
        <v>1481</v>
      </c>
      <c r="C75" t="s">
        <v>1432</v>
      </c>
      <c r="D75">
        <v>25</v>
      </c>
      <c r="E75">
        <v>419.9</v>
      </c>
      <c r="F75">
        <v>10497.5</v>
      </c>
      <c r="G75" t="s">
        <v>1530</v>
      </c>
      <c r="H75">
        <v>2020229</v>
      </c>
      <c r="I75" t="s">
        <v>1434</v>
      </c>
      <c r="J75" t="s">
        <v>1435</v>
      </c>
      <c r="K75" t="s">
        <v>1436</v>
      </c>
      <c r="L75">
        <v>10.5</v>
      </c>
      <c r="M75">
        <v>0.36</v>
      </c>
      <c r="N75">
        <v>0</v>
      </c>
      <c r="O75">
        <v>68.19</v>
      </c>
      <c r="P75">
        <v>79.052099999999996</v>
      </c>
      <c r="R75" s="15">
        <f t="shared" si="1"/>
        <v>7.5305644201000234E-3</v>
      </c>
    </row>
    <row r="76" spans="1:18" x14ac:dyDescent="0.25">
      <c r="A76" s="14">
        <v>44158</v>
      </c>
      <c r="B76" t="s">
        <v>1440</v>
      </c>
      <c r="C76" t="s">
        <v>1432</v>
      </c>
      <c r="D76">
        <v>50</v>
      </c>
      <c r="E76">
        <v>522.9</v>
      </c>
      <c r="F76">
        <v>26145</v>
      </c>
      <c r="G76" t="s">
        <v>1531</v>
      </c>
      <c r="H76">
        <v>2020226</v>
      </c>
      <c r="I76" t="s">
        <v>1434</v>
      </c>
      <c r="J76" t="s">
        <v>1435</v>
      </c>
      <c r="K76" t="s">
        <v>1436</v>
      </c>
      <c r="L76">
        <v>25.67</v>
      </c>
      <c r="M76">
        <v>0.9</v>
      </c>
      <c r="N76">
        <v>0</v>
      </c>
      <c r="O76">
        <v>169.85</v>
      </c>
      <c r="P76">
        <v>196.422</v>
      </c>
      <c r="R76" s="15">
        <f t="shared" si="1"/>
        <v>7.5127940332759607E-3</v>
      </c>
    </row>
    <row r="77" spans="1:18" x14ac:dyDescent="0.25">
      <c r="A77" s="14">
        <v>44158</v>
      </c>
      <c r="B77" t="s">
        <v>1449</v>
      </c>
      <c r="C77" t="s">
        <v>1445</v>
      </c>
      <c r="D77">
        <v>20</v>
      </c>
      <c r="E77">
        <v>509</v>
      </c>
      <c r="F77">
        <v>10180</v>
      </c>
      <c r="G77" t="s">
        <v>1532</v>
      </c>
      <c r="H77">
        <v>2020226</v>
      </c>
      <c r="I77" t="s">
        <v>1434</v>
      </c>
      <c r="J77" t="s">
        <v>1435</v>
      </c>
      <c r="K77" t="s">
        <v>1436</v>
      </c>
      <c r="L77">
        <v>10.18</v>
      </c>
      <c r="M77">
        <v>0.35</v>
      </c>
      <c r="N77">
        <v>1.53</v>
      </c>
      <c r="O77">
        <v>66.13</v>
      </c>
      <c r="P77">
        <v>78.191199999999995</v>
      </c>
      <c r="R77" s="15">
        <f t="shared" si="1"/>
        <v>7.6808644400785846E-3</v>
      </c>
    </row>
    <row r="78" spans="1:18" x14ac:dyDescent="0.25">
      <c r="A78" s="14">
        <v>44158</v>
      </c>
      <c r="B78" t="s">
        <v>1458</v>
      </c>
      <c r="C78" t="s">
        <v>1445</v>
      </c>
      <c r="D78">
        <v>5</v>
      </c>
      <c r="E78">
        <v>2431</v>
      </c>
      <c r="F78">
        <v>12155</v>
      </c>
      <c r="G78" t="s">
        <v>1533</v>
      </c>
      <c r="H78">
        <v>2020226</v>
      </c>
      <c r="I78" t="s">
        <v>1434</v>
      </c>
      <c r="J78" t="s">
        <v>1435</v>
      </c>
      <c r="K78" t="s">
        <v>1436</v>
      </c>
      <c r="L78">
        <v>12.16</v>
      </c>
      <c r="M78">
        <v>0.42</v>
      </c>
      <c r="N78">
        <v>1.47</v>
      </c>
      <c r="O78">
        <v>78.959999999999994</v>
      </c>
      <c r="P78">
        <v>93.009399999999999</v>
      </c>
      <c r="R78" s="15">
        <f t="shared" si="1"/>
        <v>7.6519457013574663E-3</v>
      </c>
    </row>
    <row r="79" spans="1:18" x14ac:dyDescent="0.25">
      <c r="A79" s="14">
        <v>44145</v>
      </c>
      <c r="B79" t="s">
        <v>1440</v>
      </c>
      <c r="C79" t="s">
        <v>1432</v>
      </c>
      <c r="D79">
        <v>50</v>
      </c>
      <c r="E79">
        <v>500.5</v>
      </c>
      <c r="F79">
        <v>25025</v>
      </c>
      <c r="G79" t="s">
        <v>1534</v>
      </c>
      <c r="H79">
        <v>2020217</v>
      </c>
      <c r="I79" t="s">
        <v>1434</v>
      </c>
      <c r="J79" t="s">
        <v>1435</v>
      </c>
      <c r="K79" t="s">
        <v>1436</v>
      </c>
      <c r="L79">
        <v>25.03</v>
      </c>
      <c r="M79">
        <v>0.86</v>
      </c>
      <c r="N79">
        <v>0</v>
      </c>
      <c r="O79">
        <v>162.57</v>
      </c>
      <c r="P79">
        <v>188.4633</v>
      </c>
      <c r="R79" s="15">
        <f t="shared" si="1"/>
        <v>7.5310009990009995E-3</v>
      </c>
    </row>
    <row r="80" spans="1:18" x14ac:dyDescent="0.25">
      <c r="A80" s="14">
        <v>44145</v>
      </c>
      <c r="B80" t="s">
        <v>1458</v>
      </c>
      <c r="C80" t="s">
        <v>1445</v>
      </c>
      <c r="D80">
        <v>5</v>
      </c>
      <c r="E80">
        <v>2460.85</v>
      </c>
      <c r="F80">
        <v>12304.25</v>
      </c>
      <c r="G80" t="s">
        <v>1535</v>
      </c>
      <c r="H80">
        <v>2020217</v>
      </c>
      <c r="I80" t="s">
        <v>1434</v>
      </c>
      <c r="J80" t="s">
        <v>1435</v>
      </c>
      <c r="K80" t="s">
        <v>1436</v>
      </c>
      <c r="L80">
        <v>12.22</v>
      </c>
      <c r="M80">
        <v>0.42</v>
      </c>
      <c r="N80">
        <v>0</v>
      </c>
      <c r="O80">
        <v>79.930000000000007</v>
      </c>
      <c r="P80">
        <v>92.5745</v>
      </c>
      <c r="R80" s="15">
        <f t="shared" si="1"/>
        <v>7.5237824328992014E-3</v>
      </c>
    </row>
    <row r="81" spans="1:18" x14ac:dyDescent="0.25">
      <c r="A81" s="14">
        <v>44145</v>
      </c>
      <c r="B81" t="s">
        <v>1458</v>
      </c>
      <c r="C81" t="s">
        <v>1445</v>
      </c>
      <c r="D81">
        <v>5</v>
      </c>
      <c r="E81">
        <v>2451</v>
      </c>
      <c r="F81">
        <v>12255</v>
      </c>
      <c r="G81" t="s">
        <v>1536</v>
      </c>
      <c r="H81">
        <v>2020217</v>
      </c>
      <c r="I81" t="s">
        <v>1434</v>
      </c>
      <c r="J81" t="s">
        <v>1435</v>
      </c>
      <c r="K81" t="s">
        <v>1436</v>
      </c>
      <c r="L81">
        <v>12.22</v>
      </c>
      <c r="M81">
        <v>0.42</v>
      </c>
      <c r="N81">
        <v>5.79</v>
      </c>
      <c r="O81">
        <v>79.61</v>
      </c>
      <c r="P81">
        <v>98.0428</v>
      </c>
      <c r="R81" s="15">
        <f t="shared" si="1"/>
        <v>8.0002284781721753E-3</v>
      </c>
    </row>
    <row r="82" spans="1:18" x14ac:dyDescent="0.25">
      <c r="A82" s="14">
        <v>44145</v>
      </c>
      <c r="B82" t="s">
        <v>1458</v>
      </c>
      <c r="C82" t="s">
        <v>1445</v>
      </c>
      <c r="D82">
        <v>5</v>
      </c>
      <c r="E82">
        <v>2421</v>
      </c>
      <c r="F82">
        <v>12105</v>
      </c>
      <c r="G82" t="s">
        <v>1537</v>
      </c>
      <c r="H82">
        <v>2020217</v>
      </c>
      <c r="I82" t="s">
        <v>1434</v>
      </c>
      <c r="J82" t="s">
        <v>1435</v>
      </c>
      <c r="K82" t="s">
        <v>1436</v>
      </c>
      <c r="L82">
        <v>12.22</v>
      </c>
      <c r="M82">
        <v>0.42</v>
      </c>
      <c r="N82">
        <v>0</v>
      </c>
      <c r="O82">
        <v>78.64</v>
      </c>
      <c r="P82">
        <v>91.277699999999996</v>
      </c>
      <c r="R82" s="15">
        <f t="shared" si="1"/>
        <v>7.5404956629491942E-3</v>
      </c>
    </row>
    <row r="83" spans="1:18" x14ac:dyDescent="0.25">
      <c r="A83" s="14">
        <v>44145</v>
      </c>
      <c r="B83" t="s">
        <v>1449</v>
      </c>
      <c r="C83" t="s">
        <v>1445</v>
      </c>
      <c r="D83">
        <v>20</v>
      </c>
      <c r="E83">
        <v>514</v>
      </c>
      <c r="F83">
        <v>10280</v>
      </c>
      <c r="G83" t="s">
        <v>1538</v>
      </c>
      <c r="H83">
        <v>2020217</v>
      </c>
      <c r="I83" t="s">
        <v>1434</v>
      </c>
      <c r="J83" t="s">
        <v>1435</v>
      </c>
      <c r="K83" t="s">
        <v>1436</v>
      </c>
      <c r="L83">
        <v>10.18</v>
      </c>
      <c r="M83">
        <v>0.35</v>
      </c>
      <c r="N83">
        <v>1.54</v>
      </c>
      <c r="O83">
        <v>66.78</v>
      </c>
      <c r="P83">
        <v>78.854600000000005</v>
      </c>
      <c r="R83" s="15">
        <f t="shared" si="1"/>
        <v>7.6706809338521406E-3</v>
      </c>
    </row>
    <row r="84" spans="1:18" x14ac:dyDescent="0.25">
      <c r="A84" s="14">
        <v>44145</v>
      </c>
      <c r="B84" t="s">
        <v>1451</v>
      </c>
      <c r="C84" t="s">
        <v>1445</v>
      </c>
      <c r="D84">
        <v>30</v>
      </c>
      <c r="E84">
        <v>371</v>
      </c>
      <c r="F84">
        <v>11130</v>
      </c>
      <c r="G84" t="s">
        <v>1539</v>
      </c>
      <c r="H84">
        <v>2020217</v>
      </c>
      <c r="I84" t="s">
        <v>1434</v>
      </c>
      <c r="J84" t="s">
        <v>1435</v>
      </c>
      <c r="K84" t="s">
        <v>1436</v>
      </c>
      <c r="L84">
        <v>11.13</v>
      </c>
      <c r="M84">
        <v>0.38</v>
      </c>
      <c r="N84">
        <v>1.67</v>
      </c>
      <c r="O84">
        <v>72.3</v>
      </c>
      <c r="P84">
        <v>85.483999999999995</v>
      </c>
      <c r="R84" s="15">
        <f t="shared" si="1"/>
        <v>7.6805031446540873E-3</v>
      </c>
    </row>
    <row r="85" spans="1:18" x14ac:dyDescent="0.25">
      <c r="A85" s="14">
        <v>44144</v>
      </c>
      <c r="B85" t="s">
        <v>1458</v>
      </c>
      <c r="C85" t="s">
        <v>1445</v>
      </c>
      <c r="D85">
        <v>5</v>
      </c>
      <c r="E85">
        <v>2501</v>
      </c>
      <c r="F85">
        <v>12505</v>
      </c>
      <c r="G85" t="s">
        <v>1540</v>
      </c>
      <c r="H85">
        <v>2020216</v>
      </c>
      <c r="I85" t="s">
        <v>1434</v>
      </c>
      <c r="J85" t="s">
        <v>1435</v>
      </c>
      <c r="K85" t="s">
        <v>1436</v>
      </c>
      <c r="L85">
        <v>12.51</v>
      </c>
      <c r="M85">
        <v>0.43</v>
      </c>
      <c r="N85">
        <v>2</v>
      </c>
      <c r="O85">
        <v>81.239999999999995</v>
      </c>
      <c r="P85">
        <v>96.1815</v>
      </c>
      <c r="R85" s="15">
        <f t="shared" si="1"/>
        <v>7.6914434226309477E-3</v>
      </c>
    </row>
    <row r="86" spans="1:18" x14ac:dyDescent="0.25">
      <c r="A86" s="14">
        <v>44144</v>
      </c>
      <c r="B86" t="s">
        <v>1440</v>
      </c>
      <c r="C86" t="s">
        <v>1432</v>
      </c>
      <c r="D86">
        <v>50</v>
      </c>
      <c r="E86">
        <v>500</v>
      </c>
      <c r="F86">
        <v>25000</v>
      </c>
      <c r="G86" t="s">
        <v>1541</v>
      </c>
      <c r="H86">
        <v>2020216</v>
      </c>
      <c r="I86" t="s">
        <v>1434</v>
      </c>
      <c r="J86" t="s">
        <v>1435</v>
      </c>
      <c r="K86" t="s">
        <v>1436</v>
      </c>
      <c r="L86">
        <v>25.5</v>
      </c>
      <c r="M86">
        <v>0.86</v>
      </c>
      <c r="N86">
        <v>0</v>
      </c>
      <c r="O86">
        <v>162.47</v>
      </c>
      <c r="P86">
        <v>188.8339</v>
      </c>
      <c r="R86" s="15">
        <f t="shared" si="1"/>
        <v>7.5533559999999998E-3</v>
      </c>
    </row>
    <row r="87" spans="1:18" x14ac:dyDescent="0.25">
      <c r="A87" s="14">
        <v>44141</v>
      </c>
      <c r="B87" t="s">
        <v>1440</v>
      </c>
      <c r="C87" t="s">
        <v>1432</v>
      </c>
      <c r="D87">
        <v>50</v>
      </c>
      <c r="E87">
        <v>504.53</v>
      </c>
      <c r="F87">
        <v>25226.25</v>
      </c>
      <c r="G87" t="s">
        <v>1542</v>
      </c>
      <c r="H87">
        <v>2020215</v>
      </c>
      <c r="I87" t="s">
        <v>1434</v>
      </c>
      <c r="J87" t="s">
        <v>1435</v>
      </c>
      <c r="K87" t="s">
        <v>1436</v>
      </c>
      <c r="L87">
        <v>25.23</v>
      </c>
      <c r="M87">
        <v>0.87</v>
      </c>
      <c r="N87">
        <v>0</v>
      </c>
      <c r="O87">
        <v>163.87</v>
      </c>
      <c r="P87">
        <v>189.97030000000001</v>
      </c>
      <c r="R87" s="15">
        <f t="shared" si="1"/>
        <v>7.530659531242258E-3</v>
      </c>
    </row>
    <row r="88" spans="1:18" x14ac:dyDescent="0.25">
      <c r="A88" s="14">
        <v>44141</v>
      </c>
      <c r="B88" t="s">
        <v>1543</v>
      </c>
      <c r="C88" t="s">
        <v>1445</v>
      </c>
      <c r="D88">
        <v>100</v>
      </c>
      <c r="E88">
        <v>112.2</v>
      </c>
      <c r="F88">
        <v>11220</v>
      </c>
      <c r="G88" t="s">
        <v>1544</v>
      </c>
      <c r="H88">
        <v>2020215</v>
      </c>
      <c r="I88" t="s">
        <v>1434</v>
      </c>
      <c r="J88" t="s">
        <v>1435</v>
      </c>
      <c r="K88" t="s">
        <v>1436</v>
      </c>
      <c r="L88">
        <v>10.77</v>
      </c>
      <c r="M88">
        <v>0.39</v>
      </c>
      <c r="N88">
        <v>2</v>
      </c>
      <c r="O88">
        <v>72.89</v>
      </c>
      <c r="P88">
        <v>86.0471</v>
      </c>
      <c r="R88" s="15">
        <f t="shared" si="1"/>
        <v>7.6690819964349375E-3</v>
      </c>
    </row>
    <row r="89" spans="1:18" x14ac:dyDescent="0.25">
      <c r="A89" s="14">
        <v>44118</v>
      </c>
      <c r="B89" t="s">
        <v>1451</v>
      </c>
      <c r="C89" t="s">
        <v>1445</v>
      </c>
      <c r="D89">
        <v>30</v>
      </c>
      <c r="E89">
        <v>361.6</v>
      </c>
      <c r="F89">
        <v>10848</v>
      </c>
      <c r="G89" t="s">
        <v>1545</v>
      </c>
      <c r="H89">
        <v>2020198</v>
      </c>
      <c r="I89" t="s">
        <v>1434</v>
      </c>
      <c r="J89" t="s">
        <v>1435</v>
      </c>
      <c r="K89" t="s">
        <v>1436</v>
      </c>
      <c r="L89">
        <v>11</v>
      </c>
      <c r="M89">
        <v>0.37</v>
      </c>
      <c r="N89">
        <v>2</v>
      </c>
      <c r="O89">
        <v>70.47</v>
      </c>
      <c r="P89">
        <v>83.844200000000001</v>
      </c>
      <c r="R89" s="15">
        <f t="shared" si="1"/>
        <v>7.7290007374631268E-3</v>
      </c>
    </row>
    <row r="90" spans="1:18" x14ac:dyDescent="0.25">
      <c r="A90" s="14">
        <v>44117</v>
      </c>
      <c r="B90" t="s">
        <v>1440</v>
      </c>
      <c r="C90" t="s">
        <v>1432</v>
      </c>
      <c r="D90">
        <v>50</v>
      </c>
      <c r="E90">
        <v>509</v>
      </c>
      <c r="F90">
        <v>25450</v>
      </c>
      <c r="G90" t="s">
        <v>1546</v>
      </c>
      <c r="H90">
        <v>2020197</v>
      </c>
      <c r="I90" t="s">
        <v>1434</v>
      </c>
      <c r="J90" t="s">
        <v>1435</v>
      </c>
      <c r="K90" t="s">
        <v>1436</v>
      </c>
      <c r="L90">
        <v>25</v>
      </c>
      <c r="M90">
        <v>0.88</v>
      </c>
      <c r="N90">
        <v>0</v>
      </c>
      <c r="O90">
        <v>165.33</v>
      </c>
      <c r="P90">
        <v>191.208</v>
      </c>
      <c r="R90" s="15">
        <f t="shared" si="1"/>
        <v>7.5130844793713158E-3</v>
      </c>
    </row>
    <row r="91" spans="1:18" x14ac:dyDescent="0.25">
      <c r="A91" s="14">
        <v>44113</v>
      </c>
      <c r="B91" t="s">
        <v>1449</v>
      </c>
      <c r="C91" t="s">
        <v>1445</v>
      </c>
      <c r="D91">
        <v>20</v>
      </c>
      <c r="E91">
        <v>517</v>
      </c>
      <c r="F91">
        <v>10340</v>
      </c>
      <c r="G91" t="s">
        <v>1547</v>
      </c>
      <c r="H91">
        <v>202021133</v>
      </c>
      <c r="I91" t="s">
        <v>1434</v>
      </c>
      <c r="J91" t="s">
        <v>1435</v>
      </c>
      <c r="K91" t="s">
        <v>1484</v>
      </c>
      <c r="L91">
        <v>10</v>
      </c>
      <c r="M91">
        <v>0.28000000000000003</v>
      </c>
      <c r="N91">
        <v>2</v>
      </c>
      <c r="O91">
        <v>67.16</v>
      </c>
      <c r="P91">
        <v>79.444400000000002</v>
      </c>
      <c r="R91" s="15">
        <f t="shared" si="1"/>
        <v>7.6832108317214706E-3</v>
      </c>
    </row>
    <row r="92" spans="1:18" x14ac:dyDescent="0.25">
      <c r="A92" s="14">
        <v>44110</v>
      </c>
      <c r="B92" t="s">
        <v>1451</v>
      </c>
      <c r="C92" t="s">
        <v>1445</v>
      </c>
      <c r="D92">
        <v>30</v>
      </c>
      <c r="E92">
        <v>369.2</v>
      </c>
      <c r="F92">
        <v>11076</v>
      </c>
      <c r="G92" t="s">
        <v>1548</v>
      </c>
      <c r="H92">
        <v>2020192</v>
      </c>
      <c r="I92" t="s">
        <v>1434</v>
      </c>
      <c r="J92" t="s">
        <v>1435</v>
      </c>
      <c r="K92" t="s">
        <v>1436</v>
      </c>
      <c r="L92">
        <v>11</v>
      </c>
      <c r="M92">
        <v>0.38</v>
      </c>
      <c r="N92">
        <v>2</v>
      </c>
      <c r="O92">
        <v>71.95</v>
      </c>
      <c r="P92">
        <v>85.3322</v>
      </c>
      <c r="R92" s="15">
        <f t="shared" si="1"/>
        <v>7.7042434091729867E-3</v>
      </c>
    </row>
    <row r="93" spans="1:18" x14ac:dyDescent="0.25">
      <c r="A93" s="14">
        <v>44095</v>
      </c>
      <c r="B93" t="s">
        <v>1504</v>
      </c>
      <c r="C93" t="s">
        <v>1432</v>
      </c>
      <c r="D93">
        <v>5</v>
      </c>
      <c r="E93">
        <v>2358</v>
      </c>
      <c r="F93">
        <v>11790</v>
      </c>
      <c r="G93" t="s">
        <v>1549</v>
      </c>
      <c r="H93">
        <v>2020182</v>
      </c>
      <c r="I93" t="s">
        <v>1434</v>
      </c>
      <c r="J93" t="s">
        <v>1435</v>
      </c>
      <c r="K93" t="s">
        <v>1436</v>
      </c>
      <c r="L93">
        <v>11.79</v>
      </c>
      <c r="M93">
        <v>0.41</v>
      </c>
      <c r="N93">
        <v>0</v>
      </c>
      <c r="O93">
        <v>76.59</v>
      </c>
      <c r="P93">
        <v>88.786799999999999</v>
      </c>
      <c r="R93" s="15">
        <f t="shared" si="1"/>
        <v>7.5306870229007632E-3</v>
      </c>
    </row>
    <row r="94" spans="1:18" x14ac:dyDescent="0.25">
      <c r="A94" s="14">
        <v>44095</v>
      </c>
      <c r="B94" t="s">
        <v>1449</v>
      </c>
      <c r="C94" t="s">
        <v>1445</v>
      </c>
      <c r="D94">
        <v>20</v>
      </c>
      <c r="E94">
        <v>501.7</v>
      </c>
      <c r="F94">
        <v>10034</v>
      </c>
      <c r="G94" t="s">
        <v>1550</v>
      </c>
      <c r="H94">
        <v>2020182</v>
      </c>
      <c r="I94" t="s">
        <v>1434</v>
      </c>
      <c r="J94" t="s">
        <v>1435</v>
      </c>
      <c r="K94" t="s">
        <v>1436</v>
      </c>
      <c r="L94">
        <v>10.029999999999999</v>
      </c>
      <c r="M94">
        <v>0.35</v>
      </c>
      <c r="N94">
        <v>1.51</v>
      </c>
      <c r="O94">
        <v>65.180000000000007</v>
      </c>
      <c r="P94">
        <v>77.066199999999995</v>
      </c>
      <c r="R94" s="15">
        <f t="shared" si="1"/>
        <v>7.6805062786525803E-3</v>
      </c>
    </row>
    <row r="95" spans="1:18" x14ac:dyDescent="0.25">
      <c r="A95" s="14">
        <v>44095</v>
      </c>
      <c r="B95" t="s">
        <v>1451</v>
      </c>
      <c r="C95" t="s">
        <v>1445</v>
      </c>
      <c r="D95">
        <v>30</v>
      </c>
      <c r="E95">
        <v>356.8</v>
      </c>
      <c r="F95">
        <v>10704</v>
      </c>
      <c r="G95" t="s">
        <v>1551</v>
      </c>
      <c r="H95">
        <v>2020182</v>
      </c>
      <c r="I95" t="s">
        <v>1434</v>
      </c>
      <c r="J95" t="s">
        <v>1435</v>
      </c>
      <c r="K95" t="s">
        <v>1436</v>
      </c>
      <c r="L95">
        <v>11.18</v>
      </c>
      <c r="M95">
        <v>0.37</v>
      </c>
      <c r="N95">
        <v>1.49</v>
      </c>
      <c r="O95">
        <v>69.53</v>
      </c>
      <c r="P95">
        <v>82.569199999999995</v>
      </c>
      <c r="R95" s="15">
        <f t="shared" si="1"/>
        <v>7.7138639760837065E-3</v>
      </c>
    </row>
    <row r="96" spans="1:18" x14ac:dyDescent="0.25">
      <c r="A96" s="14">
        <v>44083</v>
      </c>
      <c r="B96" t="s">
        <v>1451</v>
      </c>
      <c r="C96" t="s">
        <v>1445</v>
      </c>
      <c r="D96">
        <v>30</v>
      </c>
      <c r="E96">
        <v>361</v>
      </c>
      <c r="F96">
        <v>10830</v>
      </c>
      <c r="G96" t="s">
        <v>1552</v>
      </c>
      <c r="H96">
        <v>2020174</v>
      </c>
      <c r="I96" t="s">
        <v>1434</v>
      </c>
      <c r="J96" t="s">
        <v>1435</v>
      </c>
      <c r="K96" t="s">
        <v>1436</v>
      </c>
      <c r="L96">
        <v>11</v>
      </c>
      <c r="M96">
        <v>0.37</v>
      </c>
      <c r="N96">
        <v>2</v>
      </c>
      <c r="O96">
        <v>70.349999999999994</v>
      </c>
      <c r="P96">
        <v>83.723600000000005</v>
      </c>
      <c r="R96" s="15">
        <f t="shared" si="1"/>
        <v>7.7307109879963072E-3</v>
      </c>
    </row>
    <row r="97" spans="1:18" x14ac:dyDescent="0.25">
      <c r="A97" s="14">
        <v>44075</v>
      </c>
      <c r="B97" t="s">
        <v>1494</v>
      </c>
      <c r="C97" t="s">
        <v>1432</v>
      </c>
      <c r="D97">
        <v>5</v>
      </c>
      <c r="E97">
        <v>3192.5</v>
      </c>
      <c r="F97">
        <v>15962.5</v>
      </c>
      <c r="G97" t="s">
        <v>1553</v>
      </c>
      <c r="H97">
        <v>2020168</v>
      </c>
      <c r="I97" t="s">
        <v>1434</v>
      </c>
      <c r="J97" t="s">
        <v>1435</v>
      </c>
      <c r="K97" t="s">
        <v>1436</v>
      </c>
      <c r="L97">
        <v>15.96</v>
      </c>
      <c r="M97">
        <v>0.55000000000000004</v>
      </c>
      <c r="N97">
        <v>0</v>
      </c>
      <c r="O97">
        <v>103.7</v>
      </c>
      <c r="P97">
        <v>120.2107</v>
      </c>
      <c r="R97" s="15">
        <f t="shared" si="1"/>
        <v>7.5308191072826942E-3</v>
      </c>
    </row>
    <row r="98" spans="1:18" x14ac:dyDescent="0.25">
      <c r="A98" s="14">
        <v>44075</v>
      </c>
      <c r="B98" t="s">
        <v>1499</v>
      </c>
      <c r="C98" t="s">
        <v>1432</v>
      </c>
      <c r="D98">
        <v>5</v>
      </c>
      <c r="E98">
        <v>1979</v>
      </c>
      <c r="F98">
        <v>9895</v>
      </c>
      <c r="G98" t="s">
        <v>1554</v>
      </c>
      <c r="H98">
        <v>2020168</v>
      </c>
      <c r="I98" t="s">
        <v>1434</v>
      </c>
      <c r="J98" t="s">
        <v>1435</v>
      </c>
      <c r="K98" t="s">
        <v>1436</v>
      </c>
      <c r="L98">
        <v>9.56</v>
      </c>
      <c r="M98">
        <v>0.34</v>
      </c>
      <c r="N98">
        <v>0</v>
      </c>
      <c r="O98">
        <v>64.28</v>
      </c>
      <c r="P98">
        <v>74.181299999999993</v>
      </c>
      <c r="R98" s="15">
        <f t="shared" si="1"/>
        <v>7.4968468923698834E-3</v>
      </c>
    </row>
    <row r="99" spans="1:18" x14ac:dyDescent="0.25">
      <c r="A99" s="14">
        <v>44075</v>
      </c>
      <c r="B99" t="s">
        <v>1555</v>
      </c>
      <c r="C99" t="s">
        <v>1445</v>
      </c>
      <c r="D99">
        <v>50</v>
      </c>
      <c r="E99">
        <v>189.5</v>
      </c>
      <c r="F99">
        <v>9475</v>
      </c>
      <c r="G99" t="s">
        <v>1556</v>
      </c>
      <c r="H99">
        <v>2020168</v>
      </c>
      <c r="I99" t="s">
        <v>1434</v>
      </c>
      <c r="J99" t="s">
        <v>1435</v>
      </c>
      <c r="K99" t="s">
        <v>1436</v>
      </c>
      <c r="L99">
        <v>9.48</v>
      </c>
      <c r="M99">
        <v>0.33</v>
      </c>
      <c r="N99">
        <v>1</v>
      </c>
      <c r="O99">
        <v>61.55</v>
      </c>
      <c r="P99">
        <v>72.356899999999996</v>
      </c>
      <c r="R99" s="15">
        <f t="shared" si="1"/>
        <v>7.6366121372031656E-3</v>
      </c>
    </row>
    <row r="100" spans="1:18" x14ac:dyDescent="0.25">
      <c r="A100" s="14">
        <v>44074</v>
      </c>
      <c r="B100" t="s">
        <v>1451</v>
      </c>
      <c r="C100" t="s">
        <v>1445</v>
      </c>
      <c r="D100">
        <v>30</v>
      </c>
      <c r="E100">
        <v>365.2</v>
      </c>
      <c r="F100">
        <v>10956</v>
      </c>
      <c r="G100" t="s">
        <v>1557</v>
      </c>
      <c r="H100">
        <v>2020167</v>
      </c>
      <c r="I100" t="s">
        <v>1434</v>
      </c>
      <c r="J100" t="s">
        <v>1435</v>
      </c>
      <c r="K100" t="s">
        <v>1436</v>
      </c>
      <c r="L100">
        <v>10.96</v>
      </c>
      <c r="M100">
        <v>0.38</v>
      </c>
      <c r="N100">
        <v>1.26</v>
      </c>
      <c r="O100">
        <v>71.17</v>
      </c>
      <c r="P100">
        <v>83.768000000000001</v>
      </c>
      <c r="R100" s="15">
        <f t="shared" si="1"/>
        <v>7.6458561518802483E-3</v>
      </c>
    </row>
    <row r="101" spans="1:18" x14ac:dyDescent="0.25">
      <c r="A101" s="14">
        <v>44074</v>
      </c>
      <c r="B101" t="s">
        <v>1449</v>
      </c>
      <c r="C101" t="s">
        <v>1445</v>
      </c>
      <c r="D101">
        <v>20</v>
      </c>
      <c r="E101">
        <v>476.35</v>
      </c>
      <c r="F101">
        <v>9527</v>
      </c>
      <c r="G101" t="s">
        <v>1558</v>
      </c>
      <c r="H101">
        <v>2020167</v>
      </c>
      <c r="I101" t="s">
        <v>1434</v>
      </c>
      <c r="J101" t="s">
        <v>1435</v>
      </c>
      <c r="K101" t="s">
        <v>1436</v>
      </c>
      <c r="L101">
        <v>9.2799999999999994</v>
      </c>
      <c r="M101">
        <v>0.33</v>
      </c>
      <c r="N101">
        <v>1.43</v>
      </c>
      <c r="O101">
        <v>61.89</v>
      </c>
      <c r="P101">
        <v>72.928700000000006</v>
      </c>
      <c r="R101" s="15">
        <f t="shared" si="1"/>
        <v>7.6549490920541623E-3</v>
      </c>
    </row>
    <row r="102" spans="1:18" x14ac:dyDescent="0.25">
      <c r="A102" s="14">
        <v>44074</v>
      </c>
      <c r="B102" t="s">
        <v>1447</v>
      </c>
      <c r="C102" t="s">
        <v>1445</v>
      </c>
      <c r="D102">
        <v>5</v>
      </c>
      <c r="E102">
        <v>1752.1</v>
      </c>
      <c r="F102">
        <v>8760.5</v>
      </c>
      <c r="G102" t="s">
        <v>1559</v>
      </c>
      <c r="H102">
        <v>2020167</v>
      </c>
      <c r="I102" t="s">
        <v>1434</v>
      </c>
      <c r="J102" t="s">
        <v>1435</v>
      </c>
      <c r="K102" t="s">
        <v>1436</v>
      </c>
      <c r="L102">
        <v>8.76</v>
      </c>
      <c r="M102">
        <v>0.3</v>
      </c>
      <c r="N102">
        <v>1.31</v>
      </c>
      <c r="O102">
        <v>56.91</v>
      </c>
      <c r="P102">
        <v>67.282300000000006</v>
      </c>
      <c r="R102" s="15">
        <f t="shared" si="1"/>
        <v>7.6801894869014337E-3</v>
      </c>
    </row>
    <row r="103" spans="1:18" x14ac:dyDescent="0.25">
      <c r="A103" s="14">
        <v>44071</v>
      </c>
      <c r="B103" t="s">
        <v>1504</v>
      </c>
      <c r="C103" t="s">
        <v>1432</v>
      </c>
      <c r="D103">
        <v>5</v>
      </c>
      <c r="E103">
        <v>2145</v>
      </c>
      <c r="F103">
        <v>10725</v>
      </c>
      <c r="G103" t="s">
        <v>1560</v>
      </c>
      <c r="H103">
        <v>2020166</v>
      </c>
      <c r="I103" t="s">
        <v>1434</v>
      </c>
      <c r="J103" t="s">
        <v>1435</v>
      </c>
      <c r="K103" t="s">
        <v>1436</v>
      </c>
      <c r="L103">
        <v>11.16</v>
      </c>
      <c r="M103">
        <v>0.37</v>
      </c>
      <c r="N103">
        <v>0</v>
      </c>
      <c r="O103">
        <v>69.67</v>
      </c>
      <c r="P103">
        <v>81.200100000000006</v>
      </c>
      <c r="R103" s="15">
        <f t="shared" si="1"/>
        <v>7.571104895104896E-3</v>
      </c>
    </row>
    <row r="104" spans="1:18" x14ac:dyDescent="0.25">
      <c r="A104" s="14">
        <v>44071</v>
      </c>
      <c r="B104" t="s">
        <v>1449</v>
      </c>
      <c r="C104" t="s">
        <v>1445</v>
      </c>
      <c r="D104">
        <v>20</v>
      </c>
      <c r="E104">
        <v>491.9</v>
      </c>
      <c r="F104">
        <v>9838</v>
      </c>
      <c r="G104" t="s">
        <v>1561</v>
      </c>
      <c r="H104">
        <v>2020166</v>
      </c>
      <c r="I104" t="s">
        <v>1434</v>
      </c>
      <c r="J104" t="s">
        <v>1435</v>
      </c>
      <c r="K104" t="s">
        <v>1436</v>
      </c>
      <c r="L104">
        <v>9.84</v>
      </c>
      <c r="M104">
        <v>0.34</v>
      </c>
      <c r="N104">
        <v>1</v>
      </c>
      <c r="O104">
        <v>63.91</v>
      </c>
      <c r="P104">
        <v>75.089399999999998</v>
      </c>
      <c r="R104" s="15">
        <f t="shared" si="1"/>
        <v>7.6325879243748724E-3</v>
      </c>
    </row>
    <row r="105" spans="1:18" x14ac:dyDescent="0.25">
      <c r="A105" s="14">
        <v>44061</v>
      </c>
      <c r="B105" t="s">
        <v>1562</v>
      </c>
      <c r="C105" t="s">
        <v>1445</v>
      </c>
      <c r="D105">
        <v>5</v>
      </c>
      <c r="E105">
        <v>1881</v>
      </c>
      <c r="F105">
        <v>9405</v>
      </c>
      <c r="G105" t="s">
        <v>1563</v>
      </c>
      <c r="H105">
        <v>2020158</v>
      </c>
      <c r="I105" t="s">
        <v>1434</v>
      </c>
      <c r="J105" t="s">
        <v>1435</v>
      </c>
      <c r="K105" t="s">
        <v>1436</v>
      </c>
      <c r="L105">
        <v>9.41</v>
      </c>
      <c r="M105">
        <v>0.32</v>
      </c>
      <c r="N105">
        <v>1</v>
      </c>
      <c r="O105">
        <v>61.1</v>
      </c>
      <c r="P105">
        <v>71.834500000000006</v>
      </c>
      <c r="R105" s="15">
        <f t="shared" si="1"/>
        <v>7.6379053694843177E-3</v>
      </c>
    </row>
    <row r="106" spans="1:18" x14ac:dyDescent="0.25">
      <c r="A106" s="14">
        <v>44061</v>
      </c>
      <c r="B106" t="s">
        <v>1494</v>
      </c>
      <c r="C106" t="s">
        <v>1432</v>
      </c>
      <c r="D106">
        <v>5</v>
      </c>
      <c r="E106">
        <v>3124</v>
      </c>
      <c r="F106">
        <v>15620</v>
      </c>
      <c r="G106" t="s">
        <v>1564</v>
      </c>
      <c r="H106">
        <v>2020158</v>
      </c>
      <c r="I106" t="s">
        <v>1434</v>
      </c>
      <c r="J106" t="s">
        <v>1435</v>
      </c>
      <c r="K106" t="s">
        <v>1436</v>
      </c>
      <c r="L106">
        <v>15.6</v>
      </c>
      <c r="M106">
        <v>0.54</v>
      </c>
      <c r="N106">
        <v>0</v>
      </c>
      <c r="O106">
        <v>101.47</v>
      </c>
      <c r="P106">
        <v>117.60890000000001</v>
      </c>
      <c r="R106" s="15">
        <f t="shared" si="1"/>
        <v>7.5293790012804099E-3</v>
      </c>
    </row>
    <row r="107" spans="1:18" x14ac:dyDescent="0.25">
      <c r="A107" s="14">
        <v>44055</v>
      </c>
      <c r="B107" t="s">
        <v>1504</v>
      </c>
      <c r="C107" t="s">
        <v>1432</v>
      </c>
      <c r="D107">
        <v>5</v>
      </c>
      <c r="E107">
        <v>1894</v>
      </c>
      <c r="F107">
        <v>9470</v>
      </c>
      <c r="G107" t="s">
        <v>1565</v>
      </c>
      <c r="H107">
        <v>2020154</v>
      </c>
      <c r="I107" t="s">
        <v>1434</v>
      </c>
      <c r="J107" t="s">
        <v>1435</v>
      </c>
      <c r="K107" t="s">
        <v>1436</v>
      </c>
      <c r="L107">
        <v>9.4700000000000006</v>
      </c>
      <c r="M107">
        <v>0.33</v>
      </c>
      <c r="N107">
        <v>0</v>
      </c>
      <c r="O107">
        <v>61.52</v>
      </c>
      <c r="P107">
        <v>71.316699999999997</v>
      </c>
      <c r="R107" s="15">
        <f t="shared" si="1"/>
        <v>7.5308025343189013E-3</v>
      </c>
    </row>
    <row r="108" spans="1:18" x14ac:dyDescent="0.25">
      <c r="A108" s="14">
        <v>44055</v>
      </c>
      <c r="B108" t="s">
        <v>1449</v>
      </c>
      <c r="C108" t="s">
        <v>1445</v>
      </c>
      <c r="D108">
        <v>20</v>
      </c>
      <c r="E108">
        <v>503.9</v>
      </c>
      <c r="F108">
        <v>10078</v>
      </c>
      <c r="G108" t="s">
        <v>1566</v>
      </c>
      <c r="H108">
        <v>2020154</v>
      </c>
      <c r="I108" t="s">
        <v>1434</v>
      </c>
      <c r="J108" t="s">
        <v>1435</v>
      </c>
      <c r="K108" t="s">
        <v>1436</v>
      </c>
      <c r="L108">
        <v>10.53</v>
      </c>
      <c r="M108">
        <v>0.35</v>
      </c>
      <c r="N108">
        <v>2</v>
      </c>
      <c r="O108">
        <v>65.47</v>
      </c>
      <c r="P108">
        <v>78.347800000000007</v>
      </c>
      <c r="R108" s="15">
        <f t="shared" si="1"/>
        <v>7.7741416947807113E-3</v>
      </c>
    </row>
    <row r="109" spans="1:18" x14ac:dyDescent="0.25">
      <c r="A109" s="14">
        <v>44048</v>
      </c>
      <c r="B109" t="s">
        <v>1451</v>
      </c>
      <c r="C109" t="s">
        <v>1445</v>
      </c>
      <c r="D109">
        <v>30</v>
      </c>
      <c r="E109">
        <v>363.95</v>
      </c>
      <c r="F109">
        <v>10918.5</v>
      </c>
      <c r="G109" t="s">
        <v>1567</v>
      </c>
      <c r="H109">
        <v>202021087</v>
      </c>
      <c r="I109" t="s">
        <v>1434</v>
      </c>
      <c r="J109" t="s">
        <v>1435</v>
      </c>
      <c r="K109" t="s">
        <v>1484</v>
      </c>
      <c r="L109">
        <v>11</v>
      </c>
      <c r="M109">
        <v>0.3</v>
      </c>
      <c r="N109">
        <v>2</v>
      </c>
      <c r="O109">
        <v>70.92</v>
      </c>
      <c r="P109">
        <v>84.220299999999995</v>
      </c>
      <c r="R109" s="15">
        <f t="shared" si="1"/>
        <v>7.7135412373494526E-3</v>
      </c>
    </row>
    <row r="110" spans="1:18" x14ac:dyDescent="0.25">
      <c r="A110" s="14">
        <v>44048</v>
      </c>
      <c r="B110" t="s">
        <v>1499</v>
      </c>
      <c r="C110" t="s">
        <v>1432</v>
      </c>
      <c r="D110">
        <v>5</v>
      </c>
      <c r="E110">
        <v>1739</v>
      </c>
      <c r="F110">
        <v>8695</v>
      </c>
      <c r="G110" t="s">
        <v>1568</v>
      </c>
      <c r="H110">
        <v>2020149</v>
      </c>
      <c r="I110" t="s">
        <v>1434</v>
      </c>
      <c r="J110" t="s">
        <v>1435</v>
      </c>
      <c r="K110" t="s">
        <v>1436</v>
      </c>
      <c r="L110">
        <v>8.6999999999999993</v>
      </c>
      <c r="M110">
        <v>0.3</v>
      </c>
      <c r="N110">
        <v>0</v>
      </c>
      <c r="O110">
        <v>56.48</v>
      </c>
      <c r="P110">
        <v>65.479900000000001</v>
      </c>
      <c r="R110" s="15">
        <f t="shared" si="1"/>
        <v>7.5307533064979879E-3</v>
      </c>
    </row>
    <row r="111" spans="1:18" x14ac:dyDescent="0.25">
      <c r="A111" s="14">
        <v>44048</v>
      </c>
      <c r="B111" t="s">
        <v>1481</v>
      </c>
      <c r="C111" t="s">
        <v>1432</v>
      </c>
      <c r="D111">
        <v>15</v>
      </c>
      <c r="E111">
        <v>409</v>
      </c>
      <c r="F111">
        <v>6135</v>
      </c>
      <c r="G111" t="s">
        <v>1569</v>
      </c>
      <c r="H111">
        <v>2020149</v>
      </c>
      <c r="I111" t="s">
        <v>1434</v>
      </c>
      <c r="J111" t="s">
        <v>1435</v>
      </c>
      <c r="K111" t="s">
        <v>1436</v>
      </c>
      <c r="L111">
        <v>6.51</v>
      </c>
      <c r="M111">
        <v>0.21</v>
      </c>
      <c r="N111">
        <v>0</v>
      </c>
      <c r="O111">
        <v>41.34</v>
      </c>
      <c r="P111">
        <v>48.061700000000002</v>
      </c>
      <c r="R111" s="15">
        <f t="shared" si="1"/>
        <v>7.8340179299103505E-3</v>
      </c>
    </row>
    <row r="112" spans="1:18" x14ac:dyDescent="0.25">
      <c r="A112" s="14">
        <v>44048</v>
      </c>
      <c r="B112" t="s">
        <v>1570</v>
      </c>
      <c r="C112" t="s">
        <v>1432</v>
      </c>
      <c r="D112">
        <v>10</v>
      </c>
      <c r="E112">
        <v>949</v>
      </c>
      <c r="F112">
        <v>9490</v>
      </c>
      <c r="G112" t="s">
        <v>1571</v>
      </c>
      <c r="H112">
        <v>2020149</v>
      </c>
      <c r="I112" t="s">
        <v>1434</v>
      </c>
      <c r="J112" t="s">
        <v>1435</v>
      </c>
      <c r="K112" t="s">
        <v>1436</v>
      </c>
      <c r="L112">
        <v>9.49</v>
      </c>
      <c r="M112">
        <v>0.33</v>
      </c>
      <c r="N112">
        <v>0</v>
      </c>
      <c r="O112">
        <v>61.65</v>
      </c>
      <c r="P112">
        <v>71.467399999999998</v>
      </c>
      <c r="R112" s="15">
        <f t="shared" si="1"/>
        <v>7.5308113804004213E-3</v>
      </c>
    </row>
    <row r="113" spans="1:18" x14ac:dyDescent="0.25">
      <c r="A113" s="14">
        <v>44048</v>
      </c>
      <c r="B113" t="s">
        <v>1504</v>
      </c>
      <c r="C113" t="s">
        <v>1432</v>
      </c>
      <c r="D113">
        <v>5</v>
      </c>
      <c r="E113">
        <v>1849</v>
      </c>
      <c r="F113">
        <v>9245</v>
      </c>
      <c r="G113" t="s">
        <v>1572</v>
      </c>
      <c r="H113">
        <v>2020149</v>
      </c>
      <c r="I113" t="s">
        <v>1434</v>
      </c>
      <c r="J113" t="s">
        <v>1435</v>
      </c>
      <c r="K113" t="s">
        <v>1436</v>
      </c>
      <c r="L113">
        <v>9.25</v>
      </c>
      <c r="M113">
        <v>0.32</v>
      </c>
      <c r="N113">
        <v>0</v>
      </c>
      <c r="O113">
        <v>60.06</v>
      </c>
      <c r="P113">
        <v>69.628900000000002</v>
      </c>
      <c r="R113" s="15">
        <f t="shared" si="1"/>
        <v>7.5315197404002164E-3</v>
      </c>
    </row>
    <row r="114" spans="1:18" x14ac:dyDescent="0.25">
      <c r="A114" s="14">
        <v>44048</v>
      </c>
      <c r="B114" t="s">
        <v>1449</v>
      </c>
      <c r="C114" t="s">
        <v>1445</v>
      </c>
      <c r="D114">
        <v>20</v>
      </c>
      <c r="E114">
        <v>502.9</v>
      </c>
      <c r="F114">
        <v>10058</v>
      </c>
      <c r="G114" t="s">
        <v>1573</v>
      </c>
      <c r="H114">
        <v>2020149</v>
      </c>
      <c r="I114" t="s">
        <v>1434</v>
      </c>
      <c r="J114" t="s">
        <v>1435</v>
      </c>
      <c r="K114" t="s">
        <v>1436</v>
      </c>
      <c r="L114">
        <v>10.06</v>
      </c>
      <c r="M114">
        <v>0.35</v>
      </c>
      <c r="N114">
        <v>2</v>
      </c>
      <c r="O114">
        <v>65.34</v>
      </c>
      <c r="P114">
        <v>77.747</v>
      </c>
      <c r="R114" s="15">
        <f t="shared" si="1"/>
        <v>7.7298667727182342E-3</v>
      </c>
    </row>
    <row r="115" spans="1:18" x14ac:dyDescent="0.25">
      <c r="A115" s="14">
        <v>44047</v>
      </c>
      <c r="B115" t="s">
        <v>1504</v>
      </c>
      <c r="C115" t="s">
        <v>1432</v>
      </c>
      <c r="D115">
        <v>5</v>
      </c>
      <c r="E115">
        <v>1796</v>
      </c>
      <c r="F115">
        <v>8980</v>
      </c>
      <c r="G115" t="s">
        <v>1574</v>
      </c>
      <c r="H115">
        <v>2020148</v>
      </c>
      <c r="I115" t="s">
        <v>1434</v>
      </c>
      <c r="J115" t="s">
        <v>1435</v>
      </c>
      <c r="K115" t="s">
        <v>1436</v>
      </c>
      <c r="L115">
        <v>9</v>
      </c>
      <c r="M115">
        <v>0.31</v>
      </c>
      <c r="N115">
        <v>0</v>
      </c>
      <c r="O115">
        <v>58.34</v>
      </c>
      <c r="P115">
        <v>67.649799999999999</v>
      </c>
      <c r="R115" s="15">
        <f t="shared" si="1"/>
        <v>7.533385300668151E-3</v>
      </c>
    </row>
    <row r="116" spans="1:18" x14ac:dyDescent="0.25">
      <c r="A116" s="14">
        <v>44047</v>
      </c>
      <c r="B116" t="s">
        <v>1504</v>
      </c>
      <c r="C116" t="s">
        <v>1432</v>
      </c>
      <c r="D116">
        <v>5</v>
      </c>
      <c r="E116">
        <v>1803.2</v>
      </c>
      <c r="F116">
        <v>9016</v>
      </c>
      <c r="G116" t="s">
        <v>1575</v>
      </c>
      <c r="H116">
        <v>2020148</v>
      </c>
      <c r="I116" t="s">
        <v>1434</v>
      </c>
      <c r="J116" t="s">
        <v>1435</v>
      </c>
      <c r="K116" t="s">
        <v>1436</v>
      </c>
      <c r="L116">
        <v>9</v>
      </c>
      <c r="M116">
        <v>0.31</v>
      </c>
      <c r="N116">
        <v>0</v>
      </c>
      <c r="O116">
        <v>58.57</v>
      </c>
      <c r="P116">
        <v>67.881</v>
      </c>
      <c r="R116" s="15">
        <f t="shared" si="1"/>
        <v>7.5289485359361138E-3</v>
      </c>
    </row>
    <row r="117" spans="1:18" x14ac:dyDescent="0.25">
      <c r="A117" s="14">
        <v>44046</v>
      </c>
      <c r="B117" t="s">
        <v>1504</v>
      </c>
      <c r="C117" t="s">
        <v>1432</v>
      </c>
      <c r="D117">
        <v>5</v>
      </c>
      <c r="E117">
        <v>1779.5</v>
      </c>
      <c r="F117">
        <v>8897.5</v>
      </c>
      <c r="G117" t="s">
        <v>1576</v>
      </c>
      <c r="H117">
        <v>2020147</v>
      </c>
      <c r="I117" t="s">
        <v>1434</v>
      </c>
      <c r="J117" t="s">
        <v>1435</v>
      </c>
      <c r="K117" t="s">
        <v>1436</v>
      </c>
      <c r="L117">
        <v>8.74</v>
      </c>
      <c r="M117">
        <v>0.31</v>
      </c>
      <c r="N117">
        <v>0</v>
      </c>
      <c r="O117">
        <v>57.8</v>
      </c>
      <c r="P117">
        <v>66.846999999999994</v>
      </c>
      <c r="R117" s="15">
        <f t="shared" si="1"/>
        <v>7.51300927226749E-3</v>
      </c>
    </row>
    <row r="118" spans="1:18" x14ac:dyDescent="0.25">
      <c r="A118" s="14">
        <v>44046</v>
      </c>
      <c r="B118" t="s">
        <v>1449</v>
      </c>
      <c r="C118" t="s">
        <v>1445</v>
      </c>
      <c r="D118">
        <v>20</v>
      </c>
      <c r="E118">
        <v>513</v>
      </c>
      <c r="F118">
        <v>10260</v>
      </c>
      <c r="G118" t="s">
        <v>1577</v>
      </c>
      <c r="H118">
        <v>2020147</v>
      </c>
      <c r="I118" t="s">
        <v>1434</v>
      </c>
      <c r="J118" t="s">
        <v>1435</v>
      </c>
      <c r="K118" t="s">
        <v>1436</v>
      </c>
      <c r="L118">
        <v>10.26</v>
      </c>
      <c r="M118">
        <v>0.35</v>
      </c>
      <c r="N118">
        <v>2</v>
      </c>
      <c r="O118">
        <v>66.650000000000006</v>
      </c>
      <c r="P118">
        <v>79.263900000000007</v>
      </c>
      <c r="R118" s="15">
        <f t="shared" si="1"/>
        <v>7.7255263157894744E-3</v>
      </c>
    </row>
    <row r="119" spans="1:18" x14ac:dyDescent="0.25">
      <c r="A119" s="14">
        <v>44041</v>
      </c>
      <c r="B119" t="s">
        <v>1451</v>
      </c>
      <c r="C119" t="s">
        <v>1445</v>
      </c>
      <c r="D119">
        <v>30</v>
      </c>
      <c r="E119">
        <v>361</v>
      </c>
      <c r="F119">
        <v>10830</v>
      </c>
      <c r="G119" t="s">
        <v>1578</v>
      </c>
      <c r="H119">
        <v>2020144</v>
      </c>
      <c r="I119" t="s">
        <v>1434</v>
      </c>
      <c r="J119" t="s">
        <v>1435</v>
      </c>
      <c r="K119" t="s">
        <v>1436</v>
      </c>
      <c r="L119">
        <v>11</v>
      </c>
      <c r="M119">
        <v>0.37</v>
      </c>
      <c r="N119">
        <v>2</v>
      </c>
      <c r="O119">
        <v>70.349999999999994</v>
      </c>
      <c r="P119">
        <v>83.723600000000005</v>
      </c>
      <c r="R119" s="15">
        <f t="shared" si="1"/>
        <v>7.7307109879963072E-3</v>
      </c>
    </row>
    <row r="120" spans="1:18" x14ac:dyDescent="0.25">
      <c r="A120" s="14">
        <v>44034</v>
      </c>
      <c r="B120" t="s">
        <v>1449</v>
      </c>
      <c r="C120" t="s">
        <v>1445</v>
      </c>
      <c r="D120">
        <v>20</v>
      </c>
      <c r="E120">
        <v>483.5</v>
      </c>
      <c r="F120">
        <v>9670</v>
      </c>
      <c r="G120" t="s">
        <v>1579</v>
      </c>
      <c r="H120">
        <v>2020139</v>
      </c>
      <c r="I120" t="s">
        <v>1434</v>
      </c>
      <c r="J120" t="s">
        <v>1435</v>
      </c>
      <c r="K120" t="s">
        <v>1436</v>
      </c>
      <c r="L120">
        <v>9.4600000000000009</v>
      </c>
      <c r="M120">
        <v>0.33</v>
      </c>
      <c r="N120">
        <v>1.45</v>
      </c>
      <c r="O120">
        <v>62.82</v>
      </c>
      <c r="P120">
        <v>74.063599999999994</v>
      </c>
      <c r="R120" s="15">
        <f t="shared" si="1"/>
        <v>7.6591106514994822E-3</v>
      </c>
    </row>
    <row r="121" spans="1:18" x14ac:dyDescent="0.25">
      <c r="A121" s="14">
        <v>44034</v>
      </c>
      <c r="B121" t="s">
        <v>1451</v>
      </c>
      <c r="C121" t="s">
        <v>1445</v>
      </c>
      <c r="D121">
        <v>30</v>
      </c>
      <c r="E121">
        <v>351.2</v>
      </c>
      <c r="F121">
        <v>10536</v>
      </c>
      <c r="G121" t="s">
        <v>1580</v>
      </c>
      <c r="H121">
        <v>2020139</v>
      </c>
      <c r="I121" t="s">
        <v>1434</v>
      </c>
      <c r="J121" t="s">
        <v>1435</v>
      </c>
      <c r="K121" t="s">
        <v>1436</v>
      </c>
      <c r="L121">
        <v>10.54</v>
      </c>
      <c r="M121">
        <v>0.36</v>
      </c>
      <c r="N121">
        <v>1.55</v>
      </c>
      <c r="O121">
        <v>68.44</v>
      </c>
      <c r="P121">
        <v>80.893500000000003</v>
      </c>
      <c r="R121" s="15">
        <f t="shared" si="1"/>
        <v>7.6778189066059226E-3</v>
      </c>
    </row>
    <row r="122" spans="1:18" x14ac:dyDescent="0.25">
      <c r="A122" s="14">
        <v>44027</v>
      </c>
      <c r="B122" t="s">
        <v>1504</v>
      </c>
      <c r="C122" t="s">
        <v>1432</v>
      </c>
      <c r="D122">
        <v>5</v>
      </c>
      <c r="E122">
        <v>1705.5</v>
      </c>
      <c r="F122">
        <v>8527.5</v>
      </c>
      <c r="G122" t="s">
        <v>1581</v>
      </c>
      <c r="H122">
        <v>202021072</v>
      </c>
      <c r="I122" t="s">
        <v>1434</v>
      </c>
      <c r="J122" t="s">
        <v>1435</v>
      </c>
      <c r="K122" t="s">
        <v>1484</v>
      </c>
      <c r="L122">
        <v>9</v>
      </c>
      <c r="M122">
        <v>0.23</v>
      </c>
      <c r="N122">
        <v>0</v>
      </c>
      <c r="O122">
        <v>55.39</v>
      </c>
      <c r="P122">
        <v>64.624499999999998</v>
      </c>
      <c r="R122" s="15">
        <f t="shared" si="1"/>
        <v>7.5783641160949867E-3</v>
      </c>
    </row>
    <row r="123" spans="1:18" x14ac:dyDescent="0.25">
      <c r="A123" s="14">
        <v>44025</v>
      </c>
      <c r="B123" t="s">
        <v>1504</v>
      </c>
      <c r="C123" t="s">
        <v>1432</v>
      </c>
      <c r="D123">
        <v>5</v>
      </c>
      <c r="E123">
        <v>1635</v>
      </c>
      <c r="F123">
        <v>8175</v>
      </c>
      <c r="G123" t="s">
        <v>1582</v>
      </c>
      <c r="H123">
        <v>2020132</v>
      </c>
      <c r="I123" t="s">
        <v>1434</v>
      </c>
      <c r="J123" t="s">
        <v>1435</v>
      </c>
      <c r="K123" t="s">
        <v>1436</v>
      </c>
      <c r="L123">
        <v>8</v>
      </c>
      <c r="M123">
        <v>0.28000000000000003</v>
      </c>
      <c r="N123">
        <v>0</v>
      </c>
      <c r="O123">
        <v>53.11</v>
      </c>
      <c r="P123">
        <v>61.392099999999999</v>
      </c>
      <c r="R123" s="15">
        <f t="shared" si="1"/>
        <v>7.509737003058104E-3</v>
      </c>
    </row>
    <row r="124" spans="1:18" x14ac:dyDescent="0.25">
      <c r="A124" s="14">
        <v>44020</v>
      </c>
      <c r="B124" t="s">
        <v>1449</v>
      </c>
      <c r="C124" t="s">
        <v>1445</v>
      </c>
      <c r="D124">
        <v>20</v>
      </c>
      <c r="E124">
        <v>473.5</v>
      </c>
      <c r="F124">
        <v>9470</v>
      </c>
      <c r="G124" t="s">
        <v>1583</v>
      </c>
      <c r="H124">
        <v>2020129</v>
      </c>
      <c r="I124" t="s">
        <v>1434</v>
      </c>
      <c r="J124" t="s">
        <v>1435</v>
      </c>
      <c r="K124" t="s">
        <v>1436</v>
      </c>
      <c r="L124">
        <v>9</v>
      </c>
      <c r="M124">
        <v>0.33</v>
      </c>
      <c r="N124">
        <v>1</v>
      </c>
      <c r="O124">
        <v>61.52</v>
      </c>
      <c r="P124">
        <v>71.846699999999998</v>
      </c>
      <c r="R124" s="15">
        <f t="shared" si="1"/>
        <v>7.586768743400211E-3</v>
      </c>
    </row>
    <row r="125" spans="1:18" x14ac:dyDescent="0.25">
      <c r="A125" s="14">
        <v>44019</v>
      </c>
      <c r="B125" t="s">
        <v>1504</v>
      </c>
      <c r="C125" t="s">
        <v>1432</v>
      </c>
      <c r="D125">
        <v>5</v>
      </c>
      <c r="E125">
        <v>1769</v>
      </c>
      <c r="F125">
        <v>8845</v>
      </c>
      <c r="G125" t="s">
        <v>1584</v>
      </c>
      <c r="H125">
        <v>2020128</v>
      </c>
      <c r="I125" t="s">
        <v>1434</v>
      </c>
      <c r="J125" t="s">
        <v>1435</v>
      </c>
      <c r="K125" t="s">
        <v>1436</v>
      </c>
      <c r="L125">
        <v>8.6300000000000008</v>
      </c>
      <c r="M125">
        <v>0.31</v>
      </c>
      <c r="N125">
        <v>0</v>
      </c>
      <c r="O125">
        <v>57.46</v>
      </c>
      <c r="P125">
        <v>66.395099999999999</v>
      </c>
      <c r="R125" s="15">
        <f t="shared" si="1"/>
        <v>7.5065121537591858E-3</v>
      </c>
    </row>
    <row r="126" spans="1:18" x14ac:dyDescent="0.25">
      <c r="A126" s="14">
        <v>44019</v>
      </c>
      <c r="B126" t="s">
        <v>1451</v>
      </c>
      <c r="C126" t="s">
        <v>1445</v>
      </c>
      <c r="D126">
        <v>30</v>
      </c>
      <c r="E126">
        <v>352</v>
      </c>
      <c r="F126">
        <v>10560</v>
      </c>
      <c r="G126" t="s">
        <v>1585</v>
      </c>
      <c r="H126">
        <v>2020128</v>
      </c>
      <c r="I126" t="s">
        <v>1434</v>
      </c>
      <c r="J126" t="s">
        <v>1435</v>
      </c>
      <c r="K126" t="s">
        <v>1436</v>
      </c>
      <c r="L126">
        <v>10.56</v>
      </c>
      <c r="M126">
        <v>0.36</v>
      </c>
      <c r="N126">
        <v>2</v>
      </c>
      <c r="O126">
        <v>68.599999999999994</v>
      </c>
      <c r="P126">
        <v>81.524299999999997</v>
      </c>
      <c r="R126" s="15">
        <f t="shared" si="1"/>
        <v>7.7201041666666668E-3</v>
      </c>
    </row>
    <row r="127" spans="1:18" x14ac:dyDescent="0.25">
      <c r="A127" s="14">
        <v>44019</v>
      </c>
      <c r="B127" t="s">
        <v>1504</v>
      </c>
      <c r="C127" t="s">
        <v>1432</v>
      </c>
      <c r="D127">
        <v>5</v>
      </c>
      <c r="E127">
        <v>1756</v>
      </c>
      <c r="F127">
        <v>8780</v>
      </c>
      <c r="G127" t="s">
        <v>1586</v>
      </c>
      <c r="H127">
        <v>2020128</v>
      </c>
      <c r="I127" t="s">
        <v>1434</v>
      </c>
      <c r="J127" t="s">
        <v>1435</v>
      </c>
      <c r="K127" t="s">
        <v>1436</v>
      </c>
      <c r="L127">
        <v>8.81</v>
      </c>
      <c r="M127">
        <v>0.3</v>
      </c>
      <c r="N127">
        <v>0</v>
      </c>
      <c r="O127">
        <v>57.04</v>
      </c>
      <c r="P127">
        <v>66.152900000000002</v>
      </c>
      <c r="R127" s="15">
        <f t="shared" si="1"/>
        <v>7.534498861047836E-3</v>
      </c>
    </row>
    <row r="128" spans="1:18" x14ac:dyDescent="0.25">
      <c r="A128" s="14">
        <v>44018</v>
      </c>
      <c r="B128" t="s">
        <v>1504</v>
      </c>
      <c r="C128" t="s">
        <v>1432</v>
      </c>
      <c r="D128">
        <v>5</v>
      </c>
      <c r="E128">
        <v>1735</v>
      </c>
      <c r="F128">
        <v>8675</v>
      </c>
      <c r="G128" t="s">
        <v>1587</v>
      </c>
      <c r="H128">
        <v>2020127</v>
      </c>
      <c r="I128" t="s">
        <v>1434</v>
      </c>
      <c r="J128" t="s">
        <v>1435</v>
      </c>
      <c r="K128" t="s">
        <v>1436</v>
      </c>
      <c r="L128">
        <v>8.68</v>
      </c>
      <c r="M128">
        <v>0.3</v>
      </c>
      <c r="N128">
        <v>0</v>
      </c>
      <c r="O128">
        <v>56.35</v>
      </c>
      <c r="P128">
        <v>65.329300000000003</v>
      </c>
      <c r="R128" s="15">
        <f t="shared" si="1"/>
        <v>7.5307550432276663E-3</v>
      </c>
    </row>
    <row r="129" spans="1:18" x14ac:dyDescent="0.25">
      <c r="A129" s="14">
        <v>44018</v>
      </c>
      <c r="B129" t="s">
        <v>1518</v>
      </c>
      <c r="C129" t="s">
        <v>1432</v>
      </c>
      <c r="D129">
        <v>10</v>
      </c>
      <c r="E129">
        <v>505</v>
      </c>
      <c r="F129">
        <v>5050</v>
      </c>
      <c r="G129" t="s">
        <v>1588</v>
      </c>
      <c r="H129">
        <v>2020127</v>
      </c>
      <c r="I129" t="s">
        <v>1434</v>
      </c>
      <c r="J129" t="s">
        <v>1435</v>
      </c>
      <c r="K129" t="s">
        <v>1436</v>
      </c>
      <c r="L129">
        <v>5.49</v>
      </c>
      <c r="M129">
        <v>0.17</v>
      </c>
      <c r="N129">
        <v>0</v>
      </c>
      <c r="O129">
        <v>41.33</v>
      </c>
      <c r="P129">
        <v>46.994199999999999</v>
      </c>
      <c r="R129" s="15">
        <f t="shared" si="1"/>
        <v>9.305782178217821E-3</v>
      </c>
    </row>
    <row r="130" spans="1:18" x14ac:dyDescent="0.25">
      <c r="A130" s="14">
        <v>44018</v>
      </c>
      <c r="B130" t="s">
        <v>1451</v>
      </c>
      <c r="C130" t="s">
        <v>1445</v>
      </c>
      <c r="D130">
        <v>30</v>
      </c>
      <c r="E130">
        <v>351</v>
      </c>
      <c r="F130">
        <v>10530</v>
      </c>
      <c r="G130" t="s">
        <v>1589</v>
      </c>
      <c r="H130">
        <v>2020127</v>
      </c>
      <c r="I130" t="s">
        <v>1434</v>
      </c>
      <c r="J130" t="s">
        <v>1435</v>
      </c>
      <c r="K130" t="s">
        <v>1436</v>
      </c>
      <c r="L130">
        <v>10.53</v>
      </c>
      <c r="M130">
        <v>0.36</v>
      </c>
      <c r="N130">
        <v>1.6</v>
      </c>
      <c r="O130">
        <v>68.41</v>
      </c>
      <c r="P130">
        <v>80.903300000000002</v>
      </c>
      <c r="R130" s="15">
        <f t="shared" si="1"/>
        <v>7.6831244064577402E-3</v>
      </c>
    </row>
    <row r="131" spans="1:18" x14ac:dyDescent="0.25">
      <c r="A131" s="14">
        <v>44018</v>
      </c>
      <c r="B131" t="s">
        <v>1449</v>
      </c>
      <c r="C131" t="s">
        <v>1445</v>
      </c>
      <c r="D131">
        <v>20</v>
      </c>
      <c r="E131">
        <v>465.5</v>
      </c>
      <c r="F131">
        <v>9310</v>
      </c>
      <c r="G131" t="s">
        <v>1590</v>
      </c>
      <c r="H131">
        <v>2020127</v>
      </c>
      <c r="I131" t="s">
        <v>1434</v>
      </c>
      <c r="J131" t="s">
        <v>1435</v>
      </c>
      <c r="K131" t="s">
        <v>1436</v>
      </c>
      <c r="L131">
        <v>9.31</v>
      </c>
      <c r="M131">
        <v>0.32</v>
      </c>
      <c r="N131">
        <v>1.4</v>
      </c>
      <c r="O131">
        <v>60.48</v>
      </c>
      <c r="P131">
        <v>71.511300000000006</v>
      </c>
      <c r="R131" s="15">
        <f t="shared" ref="R131:R188" si="2">P131/F131</f>
        <v>7.6811278195488726E-3</v>
      </c>
    </row>
    <row r="132" spans="1:18" x14ac:dyDescent="0.25">
      <c r="A132" s="14">
        <v>44015</v>
      </c>
      <c r="B132" t="s">
        <v>1504</v>
      </c>
      <c r="C132" t="s">
        <v>1432</v>
      </c>
      <c r="D132">
        <v>5</v>
      </c>
      <c r="E132">
        <v>1754</v>
      </c>
      <c r="F132">
        <v>8770</v>
      </c>
      <c r="G132" t="s">
        <v>1591</v>
      </c>
      <c r="H132">
        <v>2020126</v>
      </c>
      <c r="I132" t="s">
        <v>1434</v>
      </c>
      <c r="J132" t="s">
        <v>1435</v>
      </c>
      <c r="K132" t="s">
        <v>1436</v>
      </c>
      <c r="L132">
        <v>9</v>
      </c>
      <c r="M132">
        <v>0.3</v>
      </c>
      <c r="N132">
        <v>0</v>
      </c>
      <c r="O132">
        <v>56.97</v>
      </c>
      <c r="P132">
        <v>66.272599999999997</v>
      </c>
      <c r="R132" s="15">
        <f t="shared" si="2"/>
        <v>7.5567388825541612E-3</v>
      </c>
    </row>
    <row r="133" spans="1:18" x14ac:dyDescent="0.25">
      <c r="A133" s="14">
        <v>44014</v>
      </c>
      <c r="B133" t="s">
        <v>1504</v>
      </c>
      <c r="C133" t="s">
        <v>1432</v>
      </c>
      <c r="D133">
        <v>5</v>
      </c>
      <c r="E133">
        <v>1712</v>
      </c>
      <c r="F133">
        <v>8560</v>
      </c>
      <c r="G133" t="s">
        <v>1592</v>
      </c>
      <c r="H133">
        <v>202021063</v>
      </c>
      <c r="I133" t="s">
        <v>1434</v>
      </c>
      <c r="J133" t="s">
        <v>1435</v>
      </c>
      <c r="K133" t="s">
        <v>1484</v>
      </c>
      <c r="L133">
        <v>9</v>
      </c>
      <c r="M133">
        <v>0.24</v>
      </c>
      <c r="N133">
        <v>0</v>
      </c>
      <c r="O133">
        <v>55.6</v>
      </c>
      <c r="P133">
        <v>64.835400000000007</v>
      </c>
      <c r="R133" s="15">
        <f t="shared" si="2"/>
        <v>7.5742289719626177E-3</v>
      </c>
    </row>
    <row r="134" spans="1:18" x14ac:dyDescent="0.25">
      <c r="A134" s="14">
        <v>44014</v>
      </c>
      <c r="B134" t="s">
        <v>1504</v>
      </c>
      <c r="C134" t="s">
        <v>1432</v>
      </c>
      <c r="D134">
        <v>5</v>
      </c>
      <c r="E134">
        <v>1708</v>
      </c>
      <c r="F134">
        <v>8540</v>
      </c>
      <c r="G134" t="s">
        <v>1593</v>
      </c>
      <c r="H134">
        <v>2020125</v>
      </c>
      <c r="I134" t="s">
        <v>1434</v>
      </c>
      <c r="J134" t="s">
        <v>1435</v>
      </c>
      <c r="K134" t="s">
        <v>1436</v>
      </c>
      <c r="L134">
        <v>8.41</v>
      </c>
      <c r="M134">
        <v>0.28999999999999998</v>
      </c>
      <c r="N134">
        <v>0</v>
      </c>
      <c r="O134">
        <v>55.48</v>
      </c>
      <c r="P134">
        <v>64.184700000000007</v>
      </c>
      <c r="R134" s="15">
        <f t="shared" si="2"/>
        <v>7.5157728337236539E-3</v>
      </c>
    </row>
    <row r="135" spans="1:18" x14ac:dyDescent="0.25">
      <c r="A135" s="14">
        <v>44014</v>
      </c>
      <c r="B135" t="s">
        <v>1504</v>
      </c>
      <c r="C135" t="s">
        <v>1432</v>
      </c>
      <c r="D135">
        <v>5</v>
      </c>
      <c r="E135">
        <v>1729</v>
      </c>
      <c r="F135">
        <v>8645</v>
      </c>
      <c r="G135" t="s">
        <v>1594</v>
      </c>
      <c r="H135">
        <v>2020125</v>
      </c>
      <c r="I135" t="s">
        <v>1434</v>
      </c>
      <c r="J135" t="s">
        <v>1435</v>
      </c>
      <c r="K135" t="s">
        <v>1436</v>
      </c>
      <c r="L135">
        <v>8.59</v>
      </c>
      <c r="M135">
        <v>0.3</v>
      </c>
      <c r="N135">
        <v>0</v>
      </c>
      <c r="O135">
        <v>56.16</v>
      </c>
      <c r="P135">
        <v>65.048199999999994</v>
      </c>
      <c r="R135" s="15">
        <f t="shared" si="2"/>
        <v>7.5243724696356269E-3</v>
      </c>
    </row>
    <row r="136" spans="1:18" x14ac:dyDescent="0.25">
      <c r="A136" s="14">
        <v>44005</v>
      </c>
      <c r="B136" t="s">
        <v>1595</v>
      </c>
      <c r="C136" t="s">
        <v>1432</v>
      </c>
      <c r="D136">
        <v>10</v>
      </c>
      <c r="E136">
        <v>705</v>
      </c>
      <c r="F136">
        <v>7050</v>
      </c>
      <c r="G136" t="s">
        <v>1596</v>
      </c>
      <c r="H136">
        <v>2020118</v>
      </c>
      <c r="I136" t="s">
        <v>1434</v>
      </c>
      <c r="J136" t="s">
        <v>1435</v>
      </c>
      <c r="K136" t="s">
        <v>1436</v>
      </c>
      <c r="L136">
        <v>7</v>
      </c>
      <c r="M136">
        <v>0.24</v>
      </c>
      <c r="N136">
        <v>1</v>
      </c>
      <c r="O136">
        <v>45.8</v>
      </c>
      <c r="P136">
        <v>54.043199999999999</v>
      </c>
      <c r="R136" s="15">
        <f t="shared" si="2"/>
        <v>7.6657021276595747E-3</v>
      </c>
    </row>
    <row r="137" spans="1:18" x14ac:dyDescent="0.25">
      <c r="A137" s="14">
        <v>43991</v>
      </c>
      <c r="B137" t="s">
        <v>1447</v>
      </c>
      <c r="C137" t="s">
        <v>1445</v>
      </c>
      <c r="D137">
        <v>5</v>
      </c>
      <c r="E137">
        <v>1455</v>
      </c>
      <c r="F137">
        <v>7275</v>
      </c>
      <c r="G137" t="s">
        <v>1597</v>
      </c>
      <c r="H137">
        <v>2020108</v>
      </c>
      <c r="I137" t="s">
        <v>1434</v>
      </c>
      <c r="J137" t="s">
        <v>1435</v>
      </c>
      <c r="K137" t="s">
        <v>1436</v>
      </c>
      <c r="L137">
        <v>7</v>
      </c>
      <c r="M137">
        <v>0.25</v>
      </c>
      <c r="N137">
        <v>1</v>
      </c>
      <c r="O137">
        <v>47.26</v>
      </c>
      <c r="P137">
        <v>55.511000000000003</v>
      </c>
      <c r="R137" s="15">
        <f t="shared" si="2"/>
        <v>7.6303780068728523E-3</v>
      </c>
    </row>
    <row r="138" spans="1:18" x14ac:dyDescent="0.25">
      <c r="A138" s="14">
        <v>43980</v>
      </c>
      <c r="B138" t="s">
        <v>1494</v>
      </c>
      <c r="C138" t="s">
        <v>1432</v>
      </c>
      <c r="D138">
        <v>4</v>
      </c>
      <c r="E138">
        <v>2401.04</v>
      </c>
      <c r="F138">
        <v>9604.15</v>
      </c>
      <c r="G138" t="s">
        <v>1598</v>
      </c>
      <c r="H138">
        <v>202021039</v>
      </c>
      <c r="I138" t="s">
        <v>1434</v>
      </c>
      <c r="J138" t="s">
        <v>1435</v>
      </c>
      <c r="K138" t="s">
        <v>1484</v>
      </c>
      <c r="L138">
        <v>10</v>
      </c>
      <c r="M138">
        <v>0.27</v>
      </c>
      <c r="N138">
        <v>1</v>
      </c>
      <c r="O138">
        <v>62.37</v>
      </c>
      <c r="P138">
        <v>73.638900000000007</v>
      </c>
      <c r="R138" s="15">
        <f t="shared" si="2"/>
        <v>7.6674041950615113E-3</v>
      </c>
    </row>
    <row r="139" spans="1:18" x14ac:dyDescent="0.25">
      <c r="A139" s="14">
        <v>43980</v>
      </c>
      <c r="B139" t="s">
        <v>1447</v>
      </c>
      <c r="C139" t="s">
        <v>1445</v>
      </c>
      <c r="D139">
        <v>5</v>
      </c>
      <c r="E139">
        <v>1361.3</v>
      </c>
      <c r="F139">
        <v>6806.5</v>
      </c>
      <c r="G139" t="s">
        <v>1599</v>
      </c>
      <c r="H139">
        <v>2020101</v>
      </c>
      <c r="I139" t="s">
        <v>1434</v>
      </c>
      <c r="J139" t="s">
        <v>1435</v>
      </c>
      <c r="K139" t="s">
        <v>1436</v>
      </c>
      <c r="L139">
        <v>7</v>
      </c>
      <c r="M139">
        <v>0.15</v>
      </c>
      <c r="N139">
        <v>1</v>
      </c>
      <c r="O139">
        <v>44.2</v>
      </c>
      <c r="P139">
        <v>52.349699999999999</v>
      </c>
      <c r="R139" s="15">
        <f t="shared" si="2"/>
        <v>7.69113347535444E-3</v>
      </c>
    </row>
    <row r="140" spans="1:18" x14ac:dyDescent="0.25">
      <c r="A140" s="14">
        <v>43979</v>
      </c>
      <c r="B140" t="s">
        <v>1472</v>
      </c>
      <c r="C140" t="s">
        <v>1432</v>
      </c>
      <c r="D140">
        <v>5</v>
      </c>
      <c r="E140">
        <v>2557</v>
      </c>
      <c r="F140">
        <v>12785</v>
      </c>
      <c r="G140" t="s">
        <v>1600</v>
      </c>
      <c r="H140">
        <v>202021038</v>
      </c>
      <c r="I140" t="s">
        <v>1434</v>
      </c>
      <c r="J140" t="s">
        <v>1435</v>
      </c>
      <c r="K140" t="s">
        <v>1484</v>
      </c>
      <c r="L140">
        <v>13</v>
      </c>
      <c r="M140">
        <v>0.36</v>
      </c>
      <c r="N140">
        <v>2</v>
      </c>
      <c r="O140">
        <v>83.04</v>
      </c>
      <c r="P140">
        <v>98.397999999999996</v>
      </c>
      <c r="R140" s="15">
        <f t="shared" si="2"/>
        <v>7.6963629253030894E-3</v>
      </c>
    </row>
    <row r="141" spans="1:18" x14ac:dyDescent="0.25">
      <c r="A141" s="14">
        <v>43979</v>
      </c>
      <c r="B141" t="s">
        <v>1543</v>
      </c>
      <c r="C141" t="s">
        <v>1445</v>
      </c>
      <c r="D141">
        <v>50</v>
      </c>
      <c r="E141">
        <v>114.5</v>
      </c>
      <c r="F141">
        <v>5725</v>
      </c>
      <c r="G141" t="s">
        <v>1601</v>
      </c>
      <c r="H141">
        <v>2020100</v>
      </c>
      <c r="I141" t="s">
        <v>1434</v>
      </c>
      <c r="J141" t="s">
        <v>1435</v>
      </c>
      <c r="K141" t="s">
        <v>1436</v>
      </c>
      <c r="L141">
        <v>6</v>
      </c>
      <c r="M141">
        <v>0.13</v>
      </c>
      <c r="N141">
        <v>1</v>
      </c>
      <c r="O141">
        <v>41.33</v>
      </c>
      <c r="P141">
        <v>48.456099999999999</v>
      </c>
      <c r="R141" s="15">
        <f t="shared" si="2"/>
        <v>8.4639475982532745E-3</v>
      </c>
    </row>
    <row r="142" spans="1:18" x14ac:dyDescent="0.25">
      <c r="A142" s="14">
        <v>43977</v>
      </c>
      <c r="B142" t="s">
        <v>1602</v>
      </c>
      <c r="C142" t="s">
        <v>1445</v>
      </c>
      <c r="D142">
        <v>5</v>
      </c>
      <c r="E142">
        <v>1991</v>
      </c>
      <c r="F142">
        <v>9955</v>
      </c>
      <c r="G142" t="s">
        <v>1603</v>
      </c>
      <c r="H142">
        <v>2020098</v>
      </c>
      <c r="I142" t="s">
        <v>1434</v>
      </c>
      <c r="J142" t="s">
        <v>1435</v>
      </c>
      <c r="K142" t="s">
        <v>1436</v>
      </c>
      <c r="L142">
        <v>10</v>
      </c>
      <c r="M142">
        <v>0.22</v>
      </c>
      <c r="N142">
        <v>1</v>
      </c>
      <c r="O142">
        <v>64.650000000000006</v>
      </c>
      <c r="P142">
        <v>75.869100000000003</v>
      </c>
      <c r="R142" s="15">
        <f t="shared" si="2"/>
        <v>7.6212054244098448E-3</v>
      </c>
    </row>
    <row r="143" spans="1:18" x14ac:dyDescent="0.25">
      <c r="A143" s="14">
        <v>43973</v>
      </c>
      <c r="B143" t="s">
        <v>1504</v>
      </c>
      <c r="C143" t="s">
        <v>1432</v>
      </c>
      <c r="D143">
        <v>5</v>
      </c>
      <c r="E143">
        <v>1626.15</v>
      </c>
      <c r="F143">
        <v>8130.75</v>
      </c>
      <c r="G143" t="s">
        <v>1604</v>
      </c>
      <c r="H143">
        <v>2020097</v>
      </c>
      <c r="I143" t="s">
        <v>1434</v>
      </c>
      <c r="J143" t="s">
        <v>1435</v>
      </c>
      <c r="K143" t="s">
        <v>1436</v>
      </c>
      <c r="L143">
        <v>8</v>
      </c>
      <c r="M143">
        <v>0.18</v>
      </c>
      <c r="N143">
        <v>1</v>
      </c>
      <c r="O143">
        <v>52.8</v>
      </c>
      <c r="P143">
        <v>61.9788</v>
      </c>
      <c r="R143" s="15">
        <f t="shared" si="2"/>
        <v>7.6227654275435848E-3</v>
      </c>
    </row>
    <row r="144" spans="1:18" x14ac:dyDescent="0.25">
      <c r="A144" s="14">
        <v>43970</v>
      </c>
      <c r="B144" t="s">
        <v>1504</v>
      </c>
      <c r="C144" t="s">
        <v>1432</v>
      </c>
      <c r="D144">
        <v>5</v>
      </c>
      <c r="E144">
        <v>1576.7</v>
      </c>
      <c r="F144">
        <v>7883.5</v>
      </c>
      <c r="G144" t="s">
        <v>1605</v>
      </c>
      <c r="H144">
        <v>202021032</v>
      </c>
      <c r="I144" t="s">
        <v>1434</v>
      </c>
      <c r="J144" t="s">
        <v>1435</v>
      </c>
      <c r="K144" t="s">
        <v>1484</v>
      </c>
      <c r="L144">
        <v>8</v>
      </c>
      <c r="M144">
        <v>0.22</v>
      </c>
      <c r="N144">
        <v>1</v>
      </c>
      <c r="O144">
        <v>51.2</v>
      </c>
      <c r="P144">
        <v>60.4208</v>
      </c>
      <c r="R144" s="15">
        <f t="shared" si="2"/>
        <v>7.6642100589839534E-3</v>
      </c>
    </row>
    <row r="145" spans="1:18" x14ac:dyDescent="0.25">
      <c r="A145" s="14">
        <v>43970</v>
      </c>
      <c r="B145" t="s">
        <v>1472</v>
      </c>
      <c r="C145" t="s">
        <v>1432</v>
      </c>
      <c r="D145">
        <v>8</v>
      </c>
      <c r="E145">
        <v>2475</v>
      </c>
      <c r="F145">
        <v>19800</v>
      </c>
      <c r="G145" t="s">
        <v>1606</v>
      </c>
      <c r="H145">
        <v>2020094</v>
      </c>
      <c r="I145" t="s">
        <v>1434</v>
      </c>
      <c r="J145" t="s">
        <v>1435</v>
      </c>
      <c r="K145" t="s">
        <v>1436</v>
      </c>
      <c r="L145">
        <v>20</v>
      </c>
      <c r="M145">
        <v>0.44</v>
      </c>
      <c r="N145">
        <v>2</v>
      </c>
      <c r="O145">
        <v>128.58000000000001</v>
      </c>
      <c r="P145">
        <v>151.01560000000001</v>
      </c>
      <c r="R145" s="15">
        <f t="shared" si="2"/>
        <v>7.6270505050505056E-3</v>
      </c>
    </row>
    <row r="146" spans="1:18" x14ac:dyDescent="0.25">
      <c r="A146" s="14">
        <v>43969</v>
      </c>
      <c r="B146" t="s">
        <v>1504</v>
      </c>
      <c r="C146" t="s">
        <v>1432</v>
      </c>
      <c r="D146">
        <v>5</v>
      </c>
      <c r="E146">
        <v>1679</v>
      </c>
      <c r="F146">
        <v>8395</v>
      </c>
      <c r="G146" t="s">
        <v>1607</v>
      </c>
      <c r="H146">
        <v>2020093</v>
      </c>
      <c r="I146" t="s">
        <v>1434</v>
      </c>
      <c r="J146" t="s">
        <v>1435</v>
      </c>
      <c r="K146" t="s">
        <v>1436</v>
      </c>
      <c r="L146">
        <v>8.31</v>
      </c>
      <c r="M146">
        <v>0.18</v>
      </c>
      <c r="N146">
        <v>0</v>
      </c>
      <c r="O146">
        <v>54.52</v>
      </c>
      <c r="P146">
        <v>63.014699999999998</v>
      </c>
      <c r="R146" s="15">
        <f t="shared" si="2"/>
        <v>7.5062179868969625E-3</v>
      </c>
    </row>
    <row r="147" spans="1:18" x14ac:dyDescent="0.25">
      <c r="A147" s="14">
        <v>43969</v>
      </c>
      <c r="B147" t="s">
        <v>1472</v>
      </c>
      <c r="C147" t="s">
        <v>1432</v>
      </c>
      <c r="D147">
        <v>5</v>
      </c>
      <c r="E147">
        <v>2509</v>
      </c>
      <c r="F147">
        <v>12545</v>
      </c>
      <c r="G147" t="s">
        <v>1608</v>
      </c>
      <c r="H147">
        <v>2020093</v>
      </c>
      <c r="I147" t="s">
        <v>1434</v>
      </c>
      <c r="J147" t="s">
        <v>1435</v>
      </c>
      <c r="K147" t="s">
        <v>1436</v>
      </c>
      <c r="L147">
        <v>12.38</v>
      </c>
      <c r="M147">
        <v>0.28000000000000003</v>
      </c>
      <c r="N147">
        <v>3</v>
      </c>
      <c r="O147">
        <v>81.47</v>
      </c>
      <c r="P147">
        <v>97.125900000000001</v>
      </c>
      <c r="R147" s="15">
        <f t="shared" si="2"/>
        <v>7.7422000797130333E-3</v>
      </c>
    </row>
    <row r="148" spans="1:18" x14ac:dyDescent="0.25">
      <c r="A148" s="14">
        <v>43969</v>
      </c>
      <c r="B148" t="s">
        <v>1504</v>
      </c>
      <c r="C148" t="s">
        <v>1432</v>
      </c>
      <c r="D148">
        <v>5</v>
      </c>
      <c r="E148">
        <v>1646</v>
      </c>
      <c r="F148">
        <v>8230</v>
      </c>
      <c r="G148" t="s">
        <v>1609</v>
      </c>
      <c r="H148">
        <v>2020093</v>
      </c>
      <c r="I148" t="s">
        <v>1434</v>
      </c>
      <c r="J148" t="s">
        <v>1435</v>
      </c>
      <c r="K148" t="s">
        <v>1436</v>
      </c>
      <c r="L148">
        <v>8.31</v>
      </c>
      <c r="M148">
        <v>0.18</v>
      </c>
      <c r="N148">
        <v>0</v>
      </c>
      <c r="O148">
        <v>53.45</v>
      </c>
      <c r="P148">
        <v>61.941000000000003</v>
      </c>
      <c r="R148" s="15">
        <f t="shared" si="2"/>
        <v>7.5262454434993926E-3</v>
      </c>
    </row>
    <row r="149" spans="1:18" x14ac:dyDescent="0.25">
      <c r="A149" s="14">
        <v>43964</v>
      </c>
      <c r="B149" t="s">
        <v>1494</v>
      </c>
      <c r="C149" t="s">
        <v>1432</v>
      </c>
      <c r="D149">
        <v>5</v>
      </c>
      <c r="E149">
        <v>2332</v>
      </c>
      <c r="F149">
        <v>11660</v>
      </c>
      <c r="G149" t="s">
        <v>1610</v>
      </c>
      <c r="H149">
        <v>202021028</v>
      </c>
      <c r="I149" t="s">
        <v>1434</v>
      </c>
      <c r="J149" t="s">
        <v>1435</v>
      </c>
      <c r="K149" t="s">
        <v>1484</v>
      </c>
      <c r="L149">
        <v>11.27</v>
      </c>
      <c r="M149">
        <v>0.33</v>
      </c>
      <c r="N149">
        <v>6</v>
      </c>
      <c r="O149">
        <v>75.73</v>
      </c>
      <c r="P149">
        <v>93.326499999999996</v>
      </c>
      <c r="R149" s="15">
        <f t="shared" si="2"/>
        <v>8.0039879931389363E-3</v>
      </c>
    </row>
    <row r="150" spans="1:18" x14ac:dyDescent="0.25">
      <c r="A150" s="14">
        <v>43964</v>
      </c>
      <c r="B150" t="s">
        <v>1472</v>
      </c>
      <c r="C150" t="s">
        <v>1432</v>
      </c>
      <c r="D150">
        <v>5</v>
      </c>
      <c r="E150">
        <v>2602</v>
      </c>
      <c r="F150">
        <v>13010</v>
      </c>
      <c r="G150" t="s">
        <v>1611</v>
      </c>
      <c r="H150">
        <v>202021028</v>
      </c>
      <c r="I150" t="s">
        <v>1434</v>
      </c>
      <c r="J150" t="s">
        <v>1435</v>
      </c>
      <c r="K150" t="s">
        <v>1484</v>
      </c>
      <c r="L150">
        <v>13.01</v>
      </c>
      <c r="M150">
        <v>0.36</v>
      </c>
      <c r="N150">
        <v>0</v>
      </c>
      <c r="O150">
        <v>84.5</v>
      </c>
      <c r="P150">
        <v>97.874399999999994</v>
      </c>
      <c r="R150" s="15">
        <f t="shared" si="2"/>
        <v>7.523013066871637E-3</v>
      </c>
    </row>
    <row r="151" spans="1:18" x14ac:dyDescent="0.25">
      <c r="A151" s="14">
        <v>43964</v>
      </c>
      <c r="B151" t="s">
        <v>1504</v>
      </c>
      <c r="C151" t="s">
        <v>1432</v>
      </c>
      <c r="D151">
        <v>5</v>
      </c>
      <c r="E151">
        <v>1698.3</v>
      </c>
      <c r="F151">
        <v>8491.5</v>
      </c>
      <c r="G151" t="s">
        <v>1612</v>
      </c>
      <c r="H151">
        <v>202021028</v>
      </c>
      <c r="I151" t="s">
        <v>1434</v>
      </c>
      <c r="J151" t="s">
        <v>1435</v>
      </c>
      <c r="K151" t="s">
        <v>1484</v>
      </c>
      <c r="L151">
        <v>8.52</v>
      </c>
      <c r="M151">
        <v>0.24</v>
      </c>
      <c r="N151">
        <v>0</v>
      </c>
      <c r="O151">
        <v>55.15</v>
      </c>
      <c r="P151">
        <v>63.907800000000002</v>
      </c>
      <c r="R151" s="15">
        <f t="shared" si="2"/>
        <v>7.5260907966790318E-3</v>
      </c>
    </row>
    <row r="152" spans="1:18" x14ac:dyDescent="0.25">
      <c r="A152" s="14">
        <v>43964</v>
      </c>
      <c r="B152" t="s">
        <v>1494</v>
      </c>
      <c r="C152" t="s">
        <v>1432</v>
      </c>
      <c r="D152">
        <v>5</v>
      </c>
      <c r="E152">
        <v>2339.5</v>
      </c>
      <c r="F152">
        <v>11697.5</v>
      </c>
      <c r="G152" t="s">
        <v>1613</v>
      </c>
      <c r="H152">
        <v>202021028</v>
      </c>
      <c r="I152" t="s">
        <v>1434</v>
      </c>
      <c r="J152" t="s">
        <v>1435</v>
      </c>
      <c r="K152" t="s">
        <v>1484</v>
      </c>
      <c r="L152">
        <v>11.68</v>
      </c>
      <c r="M152">
        <v>0.33</v>
      </c>
      <c r="N152">
        <v>0</v>
      </c>
      <c r="O152">
        <v>75.98</v>
      </c>
      <c r="P152">
        <v>87.987499999999997</v>
      </c>
      <c r="R152" s="15">
        <f t="shared" si="2"/>
        <v>7.5219063902543272E-3</v>
      </c>
    </row>
    <row r="153" spans="1:18" x14ac:dyDescent="0.25">
      <c r="A153" s="14">
        <v>43964</v>
      </c>
      <c r="B153" t="s">
        <v>1504</v>
      </c>
      <c r="C153" t="s">
        <v>1432</v>
      </c>
      <c r="D153">
        <v>5</v>
      </c>
      <c r="E153">
        <v>1709.5</v>
      </c>
      <c r="F153">
        <v>8547.5</v>
      </c>
      <c r="G153" t="s">
        <v>1614</v>
      </c>
      <c r="H153">
        <v>202021028</v>
      </c>
      <c r="I153" t="s">
        <v>1434</v>
      </c>
      <c r="J153" t="s">
        <v>1435</v>
      </c>
      <c r="K153" t="s">
        <v>1484</v>
      </c>
      <c r="L153">
        <v>8.52</v>
      </c>
      <c r="M153">
        <v>0.24</v>
      </c>
      <c r="N153">
        <v>0</v>
      </c>
      <c r="O153">
        <v>55.52</v>
      </c>
      <c r="P153">
        <v>64.279300000000006</v>
      </c>
      <c r="R153" s="15">
        <f t="shared" si="2"/>
        <v>7.5202456858730633E-3</v>
      </c>
    </row>
    <row r="154" spans="1:18" x14ac:dyDescent="0.25">
      <c r="A154" s="14">
        <v>43964</v>
      </c>
      <c r="B154" t="s">
        <v>1472</v>
      </c>
      <c r="C154" t="s">
        <v>1432</v>
      </c>
      <c r="D154">
        <v>5</v>
      </c>
      <c r="E154">
        <v>2610.5</v>
      </c>
      <c r="F154">
        <v>13052.5</v>
      </c>
      <c r="G154" t="s">
        <v>1615</v>
      </c>
      <c r="H154">
        <v>2020090</v>
      </c>
      <c r="I154" t="s">
        <v>1434</v>
      </c>
      <c r="J154" t="s">
        <v>1435</v>
      </c>
      <c r="K154" t="s">
        <v>1436</v>
      </c>
      <c r="L154">
        <v>13.08</v>
      </c>
      <c r="M154">
        <v>0.28999999999999998</v>
      </c>
      <c r="N154">
        <v>0</v>
      </c>
      <c r="O154">
        <v>84.75</v>
      </c>
      <c r="P154">
        <v>98.117000000000004</v>
      </c>
      <c r="R154" s="15">
        <f t="shared" si="2"/>
        <v>7.517104003064547E-3</v>
      </c>
    </row>
    <row r="155" spans="1:18" x14ac:dyDescent="0.25">
      <c r="A155" s="14">
        <v>43964</v>
      </c>
      <c r="B155" t="s">
        <v>1504</v>
      </c>
      <c r="C155" t="s">
        <v>1432</v>
      </c>
      <c r="D155">
        <v>5</v>
      </c>
      <c r="E155">
        <v>1649</v>
      </c>
      <c r="F155">
        <v>8245</v>
      </c>
      <c r="G155" t="s">
        <v>1616</v>
      </c>
      <c r="H155">
        <v>2020090</v>
      </c>
      <c r="I155" t="s">
        <v>1434</v>
      </c>
      <c r="J155" t="s">
        <v>1435</v>
      </c>
      <c r="K155" t="s">
        <v>1436</v>
      </c>
      <c r="L155">
        <v>8.58</v>
      </c>
      <c r="M155">
        <v>0.18</v>
      </c>
      <c r="N155">
        <v>5</v>
      </c>
      <c r="O155">
        <v>53.54</v>
      </c>
      <c r="P155">
        <v>67.301299999999998</v>
      </c>
      <c r="R155" s="15">
        <f t="shared" si="2"/>
        <v>8.1626804123711341E-3</v>
      </c>
    </row>
    <row r="156" spans="1:18" x14ac:dyDescent="0.25">
      <c r="A156" s="14">
        <v>43964</v>
      </c>
      <c r="B156" t="s">
        <v>1504</v>
      </c>
      <c r="C156" t="s">
        <v>1432</v>
      </c>
      <c r="D156">
        <v>5</v>
      </c>
      <c r="E156">
        <v>1659</v>
      </c>
      <c r="F156">
        <v>8295</v>
      </c>
      <c r="G156" t="s">
        <v>1617</v>
      </c>
      <c r="H156">
        <v>2020090</v>
      </c>
      <c r="I156" t="s">
        <v>1434</v>
      </c>
      <c r="J156" t="s">
        <v>1435</v>
      </c>
      <c r="K156" t="s">
        <v>1436</v>
      </c>
      <c r="L156">
        <v>8.27</v>
      </c>
      <c r="M156">
        <v>0.18</v>
      </c>
      <c r="N156">
        <v>0</v>
      </c>
      <c r="O156">
        <v>53.87</v>
      </c>
      <c r="P156">
        <v>62.322499999999998</v>
      </c>
      <c r="R156" s="15">
        <f t="shared" si="2"/>
        <v>7.5132610006027724E-3</v>
      </c>
    </row>
    <row r="157" spans="1:18" x14ac:dyDescent="0.25">
      <c r="A157" s="14">
        <v>43964</v>
      </c>
      <c r="B157" t="s">
        <v>1472</v>
      </c>
      <c r="C157" t="s">
        <v>1432</v>
      </c>
      <c r="D157">
        <v>5</v>
      </c>
      <c r="E157">
        <v>2620</v>
      </c>
      <c r="F157">
        <v>13100</v>
      </c>
      <c r="G157" t="s">
        <v>1618</v>
      </c>
      <c r="H157">
        <v>2020090</v>
      </c>
      <c r="I157" t="s">
        <v>1434</v>
      </c>
      <c r="J157" t="s">
        <v>1435</v>
      </c>
      <c r="K157" t="s">
        <v>1436</v>
      </c>
      <c r="L157">
        <v>13.08</v>
      </c>
      <c r="M157">
        <v>0.28999999999999998</v>
      </c>
      <c r="N157">
        <v>0</v>
      </c>
      <c r="O157">
        <v>85.07</v>
      </c>
      <c r="P157">
        <v>98.438199999999995</v>
      </c>
      <c r="R157" s="15">
        <f t="shared" si="2"/>
        <v>7.5143664122137403E-3</v>
      </c>
    </row>
    <row r="158" spans="1:18" x14ac:dyDescent="0.25">
      <c r="A158" s="14">
        <v>43959</v>
      </c>
      <c r="B158" t="s">
        <v>1504</v>
      </c>
      <c r="C158" t="s">
        <v>1432</v>
      </c>
      <c r="D158">
        <v>5</v>
      </c>
      <c r="E158">
        <v>1599</v>
      </c>
      <c r="F158">
        <v>7995</v>
      </c>
      <c r="G158" t="s">
        <v>1619</v>
      </c>
      <c r="H158">
        <v>2020087</v>
      </c>
      <c r="I158" t="s">
        <v>1434</v>
      </c>
      <c r="J158" t="s">
        <v>1435</v>
      </c>
      <c r="K158" t="s">
        <v>1436</v>
      </c>
      <c r="L158">
        <v>8</v>
      </c>
      <c r="M158">
        <v>0.18</v>
      </c>
      <c r="N158">
        <v>1</v>
      </c>
      <c r="O158">
        <v>51.92</v>
      </c>
      <c r="P158">
        <v>61.0959</v>
      </c>
      <c r="R158" s="15">
        <f t="shared" si="2"/>
        <v>7.6417636022514069E-3</v>
      </c>
    </row>
    <row r="159" spans="1:18" x14ac:dyDescent="0.25">
      <c r="A159" s="14">
        <v>43943</v>
      </c>
      <c r="B159" t="s">
        <v>1543</v>
      </c>
      <c r="C159" t="s">
        <v>1445</v>
      </c>
      <c r="D159">
        <v>50</v>
      </c>
      <c r="E159">
        <v>114.9</v>
      </c>
      <c r="F159">
        <v>5745</v>
      </c>
      <c r="G159" t="s">
        <v>1620</v>
      </c>
      <c r="H159">
        <v>202021014</v>
      </c>
      <c r="I159" t="s">
        <v>1434</v>
      </c>
      <c r="J159" t="s">
        <v>1435</v>
      </c>
      <c r="K159" t="s">
        <v>1484</v>
      </c>
      <c r="L159">
        <v>6</v>
      </c>
      <c r="M159">
        <v>0.16</v>
      </c>
      <c r="N159">
        <v>1</v>
      </c>
      <c r="O159">
        <v>41.33</v>
      </c>
      <c r="P159">
        <v>48.4908</v>
      </c>
      <c r="R159" s="15">
        <f t="shared" si="2"/>
        <v>8.4405221932114891E-3</v>
      </c>
    </row>
    <row r="160" spans="1:18" x14ac:dyDescent="0.25">
      <c r="A160" s="14">
        <v>43936</v>
      </c>
      <c r="B160" t="s">
        <v>1431</v>
      </c>
      <c r="C160" t="s">
        <v>1445</v>
      </c>
      <c r="D160">
        <v>100</v>
      </c>
      <c r="E160">
        <v>75.2</v>
      </c>
      <c r="F160">
        <v>7520</v>
      </c>
      <c r="G160" t="s">
        <v>1621</v>
      </c>
      <c r="H160">
        <v>2020071</v>
      </c>
      <c r="I160" t="s">
        <v>1434</v>
      </c>
      <c r="J160" t="s">
        <v>1435</v>
      </c>
      <c r="K160" t="s">
        <v>1436</v>
      </c>
      <c r="L160">
        <v>7.2</v>
      </c>
      <c r="M160">
        <v>0.17</v>
      </c>
      <c r="N160">
        <v>3</v>
      </c>
      <c r="O160">
        <v>48.84</v>
      </c>
      <c r="P160">
        <v>59.205399999999997</v>
      </c>
      <c r="R160" s="15">
        <f t="shared" si="2"/>
        <v>7.8730585106382978E-3</v>
      </c>
    </row>
    <row r="161" spans="1:18" x14ac:dyDescent="0.25">
      <c r="A161" s="14">
        <v>43936</v>
      </c>
      <c r="B161" t="s">
        <v>1622</v>
      </c>
      <c r="C161" t="s">
        <v>1445</v>
      </c>
      <c r="D161">
        <v>1</v>
      </c>
      <c r="E161">
        <v>16801</v>
      </c>
      <c r="F161">
        <v>16801</v>
      </c>
      <c r="G161" t="s">
        <v>1623</v>
      </c>
      <c r="H161">
        <v>2020071</v>
      </c>
      <c r="I161" t="s">
        <v>1434</v>
      </c>
      <c r="J161" t="s">
        <v>1435</v>
      </c>
      <c r="K161" t="s">
        <v>1436</v>
      </c>
      <c r="L161">
        <v>16.8</v>
      </c>
      <c r="M161">
        <v>0.37</v>
      </c>
      <c r="N161">
        <v>0</v>
      </c>
      <c r="O161">
        <v>109.11</v>
      </c>
      <c r="P161">
        <v>126.2796</v>
      </c>
      <c r="R161" s="15">
        <f t="shared" si="2"/>
        <v>7.5161954645556811E-3</v>
      </c>
    </row>
    <row r="162" spans="1:18" x14ac:dyDescent="0.25">
      <c r="A162" s="14">
        <v>43934</v>
      </c>
      <c r="B162" t="s">
        <v>1624</v>
      </c>
      <c r="C162" t="s">
        <v>1432</v>
      </c>
      <c r="D162">
        <v>6</v>
      </c>
      <c r="E162">
        <v>1615</v>
      </c>
      <c r="F162">
        <v>9690</v>
      </c>
      <c r="G162" t="s">
        <v>1625</v>
      </c>
      <c r="H162">
        <v>2020070</v>
      </c>
      <c r="I162" t="s">
        <v>1434</v>
      </c>
      <c r="J162" t="s">
        <v>1435</v>
      </c>
      <c r="K162" t="s">
        <v>1436</v>
      </c>
      <c r="L162">
        <v>9.85</v>
      </c>
      <c r="M162">
        <v>0.21</v>
      </c>
      <c r="N162">
        <v>4</v>
      </c>
      <c r="O162">
        <v>62.92</v>
      </c>
      <c r="P162">
        <v>76.983000000000004</v>
      </c>
      <c r="R162" s="15">
        <f t="shared" si="2"/>
        <v>7.9445820433436537E-3</v>
      </c>
    </row>
    <row r="163" spans="1:18" x14ac:dyDescent="0.25">
      <c r="A163" s="14">
        <v>43934</v>
      </c>
      <c r="B163" t="s">
        <v>1622</v>
      </c>
      <c r="C163" t="s">
        <v>1445</v>
      </c>
      <c r="D163">
        <v>1</v>
      </c>
      <c r="E163">
        <v>17051</v>
      </c>
      <c r="F163">
        <v>17051</v>
      </c>
      <c r="G163" t="s">
        <v>1626</v>
      </c>
      <c r="H163">
        <v>2020070</v>
      </c>
      <c r="I163" t="s">
        <v>1434</v>
      </c>
      <c r="J163" t="s">
        <v>1435</v>
      </c>
      <c r="K163" t="s">
        <v>1436</v>
      </c>
      <c r="L163">
        <v>17.05</v>
      </c>
      <c r="M163">
        <v>0.38</v>
      </c>
      <c r="N163">
        <v>0</v>
      </c>
      <c r="O163">
        <v>110.73</v>
      </c>
      <c r="P163">
        <v>128.15520000000001</v>
      </c>
      <c r="R163" s="15">
        <f t="shared" si="2"/>
        <v>7.5159931968799484E-3</v>
      </c>
    </row>
    <row r="164" spans="1:18" x14ac:dyDescent="0.25">
      <c r="A164" s="14">
        <v>43934</v>
      </c>
      <c r="B164" t="s">
        <v>1624</v>
      </c>
      <c r="C164" t="s">
        <v>1432</v>
      </c>
      <c r="D164">
        <v>5</v>
      </c>
      <c r="E164">
        <v>1625</v>
      </c>
      <c r="F164">
        <v>8125</v>
      </c>
      <c r="G164" t="s">
        <v>1627</v>
      </c>
      <c r="H164">
        <v>2020070</v>
      </c>
      <c r="I164" t="s">
        <v>1434</v>
      </c>
      <c r="J164" t="s">
        <v>1435</v>
      </c>
      <c r="K164" t="s">
        <v>1436</v>
      </c>
      <c r="L164">
        <v>8.1</v>
      </c>
      <c r="M164">
        <v>0.18</v>
      </c>
      <c r="N164">
        <v>0</v>
      </c>
      <c r="O164">
        <v>52.76</v>
      </c>
      <c r="P164">
        <v>61.038699999999999</v>
      </c>
      <c r="R164" s="15">
        <f t="shared" si="2"/>
        <v>7.5124553846153842E-3</v>
      </c>
    </row>
    <row r="165" spans="1:18" x14ac:dyDescent="0.25">
      <c r="A165" s="14">
        <v>43930</v>
      </c>
      <c r="B165" t="s">
        <v>1624</v>
      </c>
      <c r="C165" t="s">
        <v>1432</v>
      </c>
      <c r="D165">
        <v>4</v>
      </c>
      <c r="E165">
        <v>1659</v>
      </c>
      <c r="F165">
        <v>6636</v>
      </c>
      <c r="G165" t="s">
        <v>1628</v>
      </c>
      <c r="H165">
        <v>2020069</v>
      </c>
      <c r="I165" t="s">
        <v>1434</v>
      </c>
      <c r="J165" t="s">
        <v>1435</v>
      </c>
      <c r="K165" t="s">
        <v>1436</v>
      </c>
      <c r="L165">
        <v>7</v>
      </c>
      <c r="M165">
        <v>0.15</v>
      </c>
      <c r="N165">
        <v>1</v>
      </c>
      <c r="O165">
        <v>43.09</v>
      </c>
      <c r="P165">
        <v>51.235999999999997</v>
      </c>
      <c r="R165" s="15">
        <f t="shared" si="2"/>
        <v>7.7209162145871002E-3</v>
      </c>
    </row>
    <row r="166" spans="1:18" x14ac:dyDescent="0.25">
      <c r="A166" s="14">
        <v>43929</v>
      </c>
      <c r="B166" t="s">
        <v>1624</v>
      </c>
      <c r="C166" t="s">
        <v>1432</v>
      </c>
      <c r="D166">
        <v>5</v>
      </c>
      <c r="E166">
        <v>1695</v>
      </c>
      <c r="F166">
        <v>8475</v>
      </c>
      <c r="G166" t="s">
        <v>1629</v>
      </c>
      <c r="H166">
        <v>2020068</v>
      </c>
      <c r="I166" t="s">
        <v>1434</v>
      </c>
      <c r="J166" t="s">
        <v>1435</v>
      </c>
      <c r="K166" t="s">
        <v>1436</v>
      </c>
      <c r="L166">
        <v>8</v>
      </c>
      <c r="M166">
        <v>0.19</v>
      </c>
      <c r="N166">
        <v>1</v>
      </c>
      <c r="O166">
        <v>55.04</v>
      </c>
      <c r="P166">
        <v>64.226500000000001</v>
      </c>
      <c r="R166" s="15">
        <f t="shared" si="2"/>
        <v>7.5783480825958706E-3</v>
      </c>
    </row>
    <row r="167" spans="1:18" x14ac:dyDescent="0.25">
      <c r="A167" s="14">
        <v>43928</v>
      </c>
      <c r="B167" t="s">
        <v>1624</v>
      </c>
      <c r="C167" t="s">
        <v>1432</v>
      </c>
      <c r="D167">
        <v>5</v>
      </c>
      <c r="E167">
        <v>1551</v>
      </c>
      <c r="F167">
        <v>7755</v>
      </c>
      <c r="G167" t="s">
        <v>1630</v>
      </c>
      <c r="H167">
        <v>202021005</v>
      </c>
      <c r="I167" t="s">
        <v>1434</v>
      </c>
      <c r="J167" t="s">
        <v>1435</v>
      </c>
      <c r="K167" t="s">
        <v>1484</v>
      </c>
      <c r="L167">
        <v>8</v>
      </c>
      <c r="M167">
        <v>0.22</v>
      </c>
      <c r="N167">
        <v>1</v>
      </c>
      <c r="O167">
        <v>50.37</v>
      </c>
      <c r="P167">
        <v>59.587200000000003</v>
      </c>
      <c r="R167" s="15">
        <f t="shared" si="2"/>
        <v>7.6837137330754354E-3</v>
      </c>
    </row>
    <row r="168" spans="1:18" x14ac:dyDescent="0.25">
      <c r="A168" s="14">
        <v>43928</v>
      </c>
      <c r="B168" t="s">
        <v>1624</v>
      </c>
      <c r="C168" t="s">
        <v>1432</v>
      </c>
      <c r="D168">
        <v>5</v>
      </c>
      <c r="E168">
        <v>1629</v>
      </c>
      <c r="F168">
        <v>8145</v>
      </c>
      <c r="G168" t="s">
        <v>1631</v>
      </c>
      <c r="H168">
        <v>2020067</v>
      </c>
      <c r="I168" t="s">
        <v>1434</v>
      </c>
      <c r="J168" t="s">
        <v>1435</v>
      </c>
      <c r="K168" t="s">
        <v>1436</v>
      </c>
      <c r="L168">
        <v>8.25</v>
      </c>
      <c r="M168">
        <v>0.18</v>
      </c>
      <c r="N168">
        <v>0</v>
      </c>
      <c r="O168">
        <v>52.89</v>
      </c>
      <c r="P168">
        <v>61.319099999999999</v>
      </c>
      <c r="R168" s="15">
        <f t="shared" si="2"/>
        <v>7.5284346224677714E-3</v>
      </c>
    </row>
    <row r="169" spans="1:18" x14ac:dyDescent="0.25">
      <c r="A169" s="14">
        <v>43928</v>
      </c>
      <c r="B169" t="s">
        <v>1624</v>
      </c>
      <c r="C169" t="s">
        <v>1432</v>
      </c>
      <c r="D169">
        <v>5</v>
      </c>
      <c r="E169">
        <v>1671</v>
      </c>
      <c r="F169">
        <v>8355</v>
      </c>
      <c r="G169" t="s">
        <v>1632</v>
      </c>
      <c r="H169">
        <v>2020067</v>
      </c>
      <c r="I169" t="s">
        <v>1434</v>
      </c>
      <c r="J169" t="s">
        <v>1435</v>
      </c>
      <c r="K169" t="s">
        <v>1436</v>
      </c>
      <c r="L169">
        <v>8.75</v>
      </c>
      <c r="M169">
        <v>0.18</v>
      </c>
      <c r="N169">
        <v>2</v>
      </c>
      <c r="O169">
        <v>54.26</v>
      </c>
      <c r="P169">
        <v>65.193899999999999</v>
      </c>
      <c r="R169" s="15">
        <f t="shared" si="2"/>
        <v>7.8029802513464993E-3</v>
      </c>
    </row>
    <row r="170" spans="1:18" x14ac:dyDescent="0.25">
      <c r="A170" s="14">
        <v>43924</v>
      </c>
      <c r="B170" t="s">
        <v>1624</v>
      </c>
      <c r="C170" t="s">
        <v>1432</v>
      </c>
      <c r="D170">
        <v>5</v>
      </c>
      <c r="E170">
        <v>1491.7</v>
      </c>
      <c r="F170">
        <v>7458.5</v>
      </c>
      <c r="G170" t="s">
        <v>1633</v>
      </c>
      <c r="H170">
        <v>202021004</v>
      </c>
      <c r="I170" t="s">
        <v>1434</v>
      </c>
      <c r="J170" t="s">
        <v>1435</v>
      </c>
      <c r="K170" t="s">
        <v>1484</v>
      </c>
      <c r="L170">
        <v>7</v>
      </c>
      <c r="M170">
        <v>0.21</v>
      </c>
      <c r="N170">
        <v>1</v>
      </c>
      <c r="O170">
        <v>48.44</v>
      </c>
      <c r="P170">
        <v>56.648899999999998</v>
      </c>
      <c r="R170" s="15">
        <f t="shared" si="2"/>
        <v>7.5952135147817927E-3</v>
      </c>
    </row>
    <row r="171" spans="1:18" x14ac:dyDescent="0.25">
      <c r="A171" s="14">
        <v>43924</v>
      </c>
      <c r="B171" t="s">
        <v>1624</v>
      </c>
      <c r="C171" t="s">
        <v>1432</v>
      </c>
      <c r="D171">
        <v>5</v>
      </c>
      <c r="E171">
        <v>1505</v>
      </c>
      <c r="F171">
        <v>7525</v>
      </c>
      <c r="G171" t="s">
        <v>1634</v>
      </c>
      <c r="H171">
        <v>2020066</v>
      </c>
      <c r="I171" t="s">
        <v>1434</v>
      </c>
      <c r="J171" t="s">
        <v>1435</v>
      </c>
      <c r="K171" t="s">
        <v>1436</v>
      </c>
      <c r="L171">
        <v>8</v>
      </c>
      <c r="M171">
        <v>0.17</v>
      </c>
      <c r="N171">
        <v>1</v>
      </c>
      <c r="O171">
        <v>48.87</v>
      </c>
      <c r="P171">
        <v>58.035499999999999</v>
      </c>
      <c r="R171" s="15">
        <f t="shared" si="2"/>
        <v>7.7123588039867104E-3</v>
      </c>
    </row>
    <row r="172" spans="1:18" x14ac:dyDescent="0.25">
      <c r="A172" s="14">
        <v>43913</v>
      </c>
      <c r="B172" t="s">
        <v>1444</v>
      </c>
      <c r="C172" t="s">
        <v>1445</v>
      </c>
      <c r="D172">
        <v>20</v>
      </c>
      <c r="E172">
        <v>370.2</v>
      </c>
      <c r="F172">
        <v>7404</v>
      </c>
      <c r="G172" t="s">
        <v>1635</v>
      </c>
      <c r="H172">
        <v>2020058</v>
      </c>
      <c r="I172" t="s">
        <v>1434</v>
      </c>
      <c r="J172" t="s">
        <v>1435</v>
      </c>
      <c r="K172" t="s">
        <v>1436</v>
      </c>
      <c r="L172">
        <v>7</v>
      </c>
      <c r="M172">
        <v>0.16</v>
      </c>
      <c r="N172">
        <v>1</v>
      </c>
      <c r="O172">
        <v>48.08</v>
      </c>
      <c r="P172">
        <v>56.242899999999999</v>
      </c>
      <c r="R172" s="15">
        <f t="shared" si="2"/>
        <v>7.5962857914640735E-3</v>
      </c>
    </row>
    <row r="173" spans="1:18" x14ac:dyDescent="0.25">
      <c r="A173" s="14">
        <v>43903</v>
      </c>
      <c r="B173" t="s">
        <v>1512</v>
      </c>
      <c r="C173" t="s">
        <v>1445</v>
      </c>
      <c r="D173">
        <v>10</v>
      </c>
      <c r="E173">
        <v>1025</v>
      </c>
      <c r="F173">
        <v>10250</v>
      </c>
      <c r="G173" t="s">
        <v>1636</v>
      </c>
      <c r="H173">
        <v>201920237</v>
      </c>
      <c r="I173" t="s">
        <v>1434</v>
      </c>
      <c r="J173" t="s">
        <v>1435</v>
      </c>
      <c r="K173" t="s">
        <v>1484</v>
      </c>
      <c r="L173">
        <v>10</v>
      </c>
      <c r="M173">
        <v>0.28999999999999998</v>
      </c>
      <c r="N173">
        <v>2</v>
      </c>
      <c r="O173">
        <v>66.58</v>
      </c>
      <c r="P173">
        <v>78.867000000000004</v>
      </c>
      <c r="R173" s="15">
        <f t="shared" si="2"/>
        <v>7.6943414634146343E-3</v>
      </c>
    </row>
    <row r="174" spans="1:18" x14ac:dyDescent="0.25">
      <c r="A174" s="14">
        <v>43902</v>
      </c>
      <c r="B174" t="s">
        <v>1543</v>
      </c>
      <c r="C174" t="s">
        <v>1445</v>
      </c>
      <c r="D174">
        <v>50</v>
      </c>
      <c r="E174">
        <v>129.19999999999999</v>
      </c>
      <c r="F174">
        <v>6460</v>
      </c>
      <c r="G174" t="s">
        <v>1637</v>
      </c>
      <c r="H174">
        <v>2020051</v>
      </c>
      <c r="I174" t="s">
        <v>1434</v>
      </c>
      <c r="J174" t="s">
        <v>1435</v>
      </c>
      <c r="K174" t="s">
        <v>1436</v>
      </c>
      <c r="L174">
        <v>6.46</v>
      </c>
      <c r="M174">
        <v>0.14000000000000001</v>
      </c>
      <c r="N174">
        <v>0</v>
      </c>
      <c r="O174">
        <v>41.95</v>
      </c>
      <c r="P174">
        <v>48.552199999999999</v>
      </c>
      <c r="R174" s="15">
        <f t="shared" si="2"/>
        <v>7.5158204334365326E-3</v>
      </c>
    </row>
    <row r="175" spans="1:18" x14ac:dyDescent="0.25">
      <c r="A175" s="14">
        <v>43902</v>
      </c>
      <c r="B175" t="s">
        <v>1555</v>
      </c>
      <c r="C175" t="s">
        <v>1445</v>
      </c>
      <c r="D175">
        <v>50</v>
      </c>
      <c r="E175">
        <v>159.1</v>
      </c>
      <c r="F175">
        <v>7955</v>
      </c>
      <c r="G175" t="s">
        <v>1638</v>
      </c>
      <c r="H175">
        <v>2020051</v>
      </c>
      <c r="I175" t="s">
        <v>1434</v>
      </c>
      <c r="J175" t="s">
        <v>1435</v>
      </c>
      <c r="K175" t="s">
        <v>1436</v>
      </c>
      <c r="L175">
        <v>7.96</v>
      </c>
      <c r="M175">
        <v>0.18</v>
      </c>
      <c r="N175">
        <v>0</v>
      </c>
      <c r="O175">
        <v>51.66</v>
      </c>
      <c r="P175">
        <v>59.795099999999998</v>
      </c>
      <c r="R175" s="15">
        <f t="shared" si="2"/>
        <v>7.5166687617850402E-3</v>
      </c>
    </row>
    <row r="176" spans="1:18" x14ac:dyDescent="0.25">
      <c r="A176" s="14">
        <v>43902</v>
      </c>
      <c r="B176" t="s">
        <v>1447</v>
      </c>
      <c r="C176" t="s">
        <v>1445</v>
      </c>
      <c r="D176">
        <v>5</v>
      </c>
      <c r="E176">
        <v>1376</v>
      </c>
      <c r="F176">
        <v>6880</v>
      </c>
      <c r="G176" t="s">
        <v>1639</v>
      </c>
      <c r="H176">
        <v>2020051</v>
      </c>
      <c r="I176" t="s">
        <v>1434</v>
      </c>
      <c r="J176" t="s">
        <v>1435</v>
      </c>
      <c r="K176" t="s">
        <v>1436</v>
      </c>
      <c r="L176">
        <v>6.48</v>
      </c>
      <c r="M176">
        <v>0.15</v>
      </c>
      <c r="N176">
        <v>3</v>
      </c>
      <c r="O176">
        <v>44.68</v>
      </c>
      <c r="P176">
        <v>54.311399999999999</v>
      </c>
      <c r="R176" s="15">
        <f t="shared" si="2"/>
        <v>7.8940988372093023E-3</v>
      </c>
    </row>
    <row r="177" spans="1:19" x14ac:dyDescent="0.25">
      <c r="A177" s="14">
        <v>43902</v>
      </c>
      <c r="B177" t="s">
        <v>1640</v>
      </c>
      <c r="C177" t="s">
        <v>1445</v>
      </c>
      <c r="D177">
        <v>5</v>
      </c>
      <c r="E177">
        <v>1622</v>
      </c>
      <c r="F177">
        <v>8110</v>
      </c>
      <c r="G177" t="s">
        <v>1641</v>
      </c>
      <c r="H177">
        <v>2020051</v>
      </c>
      <c r="I177" t="s">
        <v>1434</v>
      </c>
      <c r="J177" t="s">
        <v>1435</v>
      </c>
      <c r="K177" t="s">
        <v>1436</v>
      </c>
      <c r="L177">
        <v>8.11</v>
      </c>
      <c r="M177">
        <v>0.18</v>
      </c>
      <c r="N177">
        <v>0</v>
      </c>
      <c r="O177">
        <v>52.67</v>
      </c>
      <c r="P177">
        <v>60.958399999999997</v>
      </c>
      <c r="R177" s="15">
        <f t="shared" si="2"/>
        <v>7.5164488286066583E-3</v>
      </c>
    </row>
    <row r="178" spans="1:19" x14ac:dyDescent="0.25">
      <c r="A178" s="14">
        <v>43899</v>
      </c>
      <c r="B178" t="s">
        <v>1444</v>
      </c>
      <c r="C178" t="s">
        <v>1445</v>
      </c>
      <c r="D178">
        <v>10</v>
      </c>
      <c r="E178">
        <v>524.5</v>
      </c>
      <c r="F178">
        <v>5245</v>
      </c>
      <c r="G178" t="s">
        <v>1642</v>
      </c>
      <c r="H178">
        <v>2020049</v>
      </c>
      <c r="I178" t="s">
        <v>1434</v>
      </c>
      <c r="J178" t="s">
        <v>1435</v>
      </c>
      <c r="K178" t="s">
        <v>1436</v>
      </c>
      <c r="L178">
        <v>5.09</v>
      </c>
      <c r="M178">
        <v>0.12</v>
      </c>
      <c r="N178">
        <v>6</v>
      </c>
      <c r="O178">
        <v>41.32</v>
      </c>
      <c r="P178">
        <v>52.525300000000001</v>
      </c>
      <c r="R178" s="15">
        <f t="shared" si="2"/>
        <v>1.0014356530028599E-2</v>
      </c>
    </row>
    <row r="179" spans="1:19" x14ac:dyDescent="0.25">
      <c r="A179" s="14">
        <v>43899</v>
      </c>
      <c r="B179" t="s">
        <v>1506</v>
      </c>
      <c r="C179" t="s">
        <v>1445</v>
      </c>
      <c r="D179">
        <v>100</v>
      </c>
      <c r="E179">
        <v>95.5</v>
      </c>
      <c r="F179">
        <v>9550</v>
      </c>
      <c r="G179" t="s">
        <v>1643</v>
      </c>
      <c r="H179">
        <v>2020049</v>
      </c>
      <c r="I179" t="s">
        <v>1434</v>
      </c>
      <c r="J179" t="s">
        <v>1435</v>
      </c>
      <c r="K179" t="s">
        <v>1436</v>
      </c>
      <c r="L179">
        <v>9.5500000000000007</v>
      </c>
      <c r="M179">
        <v>0.21</v>
      </c>
      <c r="N179">
        <v>0</v>
      </c>
      <c r="O179">
        <v>62.02</v>
      </c>
      <c r="P179">
        <v>71.780199999999994</v>
      </c>
      <c r="R179" s="15">
        <f t="shared" si="2"/>
        <v>7.5162513089005231E-3</v>
      </c>
    </row>
    <row r="180" spans="1:19" x14ac:dyDescent="0.25">
      <c r="A180" s="14">
        <v>43899</v>
      </c>
      <c r="B180" t="s">
        <v>1518</v>
      </c>
      <c r="C180" t="s">
        <v>1445</v>
      </c>
      <c r="D180">
        <v>10</v>
      </c>
      <c r="E180">
        <v>944.1</v>
      </c>
      <c r="F180">
        <v>9441</v>
      </c>
      <c r="G180" t="s">
        <v>1644</v>
      </c>
      <c r="H180">
        <v>2020049</v>
      </c>
      <c r="I180" t="s">
        <v>1434</v>
      </c>
      <c r="J180" t="s">
        <v>1435</v>
      </c>
      <c r="K180" t="s">
        <v>1436</v>
      </c>
      <c r="L180">
        <v>9.44</v>
      </c>
      <c r="M180">
        <v>0.21</v>
      </c>
      <c r="N180">
        <v>0</v>
      </c>
      <c r="O180">
        <v>61.31</v>
      </c>
      <c r="P180">
        <v>70.957700000000003</v>
      </c>
      <c r="R180" s="15">
        <f t="shared" si="2"/>
        <v>7.515909331638598E-3</v>
      </c>
    </row>
    <row r="181" spans="1:19" x14ac:dyDescent="0.25">
      <c r="A181" s="14">
        <v>43899</v>
      </c>
      <c r="B181" t="s">
        <v>1602</v>
      </c>
      <c r="C181" t="s">
        <v>1445</v>
      </c>
      <c r="D181">
        <v>5</v>
      </c>
      <c r="E181">
        <v>1957.5</v>
      </c>
      <c r="F181">
        <v>9787.5</v>
      </c>
      <c r="G181" t="s">
        <v>1645</v>
      </c>
      <c r="H181">
        <v>2020049</v>
      </c>
      <c r="I181" t="s">
        <v>1434</v>
      </c>
      <c r="J181" t="s">
        <v>1435</v>
      </c>
      <c r="K181" t="s">
        <v>1436</v>
      </c>
      <c r="L181">
        <v>9.7899999999999991</v>
      </c>
      <c r="M181">
        <v>0.22</v>
      </c>
      <c r="N181">
        <v>0</v>
      </c>
      <c r="O181">
        <v>63.56</v>
      </c>
      <c r="P181">
        <v>73.565299999999993</v>
      </c>
      <c r="R181" s="15">
        <f t="shared" si="2"/>
        <v>7.5162503192848012E-3</v>
      </c>
    </row>
    <row r="182" spans="1:19" x14ac:dyDescent="0.25">
      <c r="A182" s="14">
        <v>43899</v>
      </c>
      <c r="B182" t="s">
        <v>1562</v>
      </c>
      <c r="C182" t="s">
        <v>1445</v>
      </c>
      <c r="D182">
        <v>5</v>
      </c>
      <c r="E182">
        <v>2485</v>
      </c>
      <c r="F182">
        <v>12425</v>
      </c>
      <c r="G182" t="s">
        <v>1646</v>
      </c>
      <c r="H182">
        <v>2020049</v>
      </c>
      <c r="I182" t="s">
        <v>1434</v>
      </c>
      <c r="J182" t="s">
        <v>1435</v>
      </c>
      <c r="K182" t="s">
        <v>1436</v>
      </c>
      <c r="L182">
        <v>12.43</v>
      </c>
      <c r="M182">
        <v>0.27</v>
      </c>
      <c r="N182">
        <v>0</v>
      </c>
      <c r="O182">
        <v>80.69</v>
      </c>
      <c r="P182">
        <v>93.393299999999996</v>
      </c>
      <c r="R182" s="15">
        <f t="shared" si="2"/>
        <v>7.5165633802816902E-3</v>
      </c>
    </row>
    <row r="183" spans="1:19" x14ac:dyDescent="0.25">
      <c r="A183" s="14">
        <v>43899</v>
      </c>
      <c r="B183" t="s">
        <v>1496</v>
      </c>
      <c r="C183" t="s">
        <v>1445</v>
      </c>
      <c r="D183">
        <v>10</v>
      </c>
      <c r="E183">
        <v>1071</v>
      </c>
      <c r="F183">
        <v>10710</v>
      </c>
      <c r="G183" t="s">
        <v>1647</v>
      </c>
      <c r="H183">
        <v>2020049</v>
      </c>
      <c r="I183" t="s">
        <v>1434</v>
      </c>
      <c r="J183" t="s">
        <v>1435</v>
      </c>
      <c r="K183" t="s">
        <v>1436</v>
      </c>
      <c r="L183">
        <v>10.71</v>
      </c>
      <c r="M183">
        <v>0.24</v>
      </c>
      <c r="N183">
        <v>0</v>
      </c>
      <c r="O183">
        <v>69.55</v>
      </c>
      <c r="P183">
        <v>80.495599999999996</v>
      </c>
      <c r="R183" s="15">
        <f t="shared" si="2"/>
        <v>7.5159290382819793E-3</v>
      </c>
    </row>
    <row r="184" spans="1:19" x14ac:dyDescent="0.25">
      <c r="A184" s="14">
        <v>43896</v>
      </c>
      <c r="B184" t="s">
        <v>1487</v>
      </c>
      <c r="C184" t="s">
        <v>1445</v>
      </c>
      <c r="D184">
        <v>35</v>
      </c>
      <c r="E184">
        <v>300.5</v>
      </c>
      <c r="F184">
        <v>10517.5</v>
      </c>
      <c r="G184" t="s">
        <v>1648</v>
      </c>
      <c r="H184">
        <v>2020048</v>
      </c>
      <c r="I184" t="s">
        <v>1434</v>
      </c>
      <c r="J184" t="s">
        <v>1435</v>
      </c>
      <c r="K184" t="s">
        <v>1436</v>
      </c>
      <c r="L184">
        <v>10.52</v>
      </c>
      <c r="M184">
        <v>0.23</v>
      </c>
      <c r="N184">
        <v>0</v>
      </c>
      <c r="O184">
        <v>68.3</v>
      </c>
      <c r="P184">
        <v>79.051400000000001</v>
      </c>
      <c r="R184" s="15">
        <f t="shared" si="2"/>
        <v>7.5161777989065847E-3</v>
      </c>
    </row>
    <row r="185" spans="1:19" x14ac:dyDescent="0.25">
      <c r="A185" s="14">
        <v>43896</v>
      </c>
      <c r="B185" t="s">
        <v>1543</v>
      </c>
      <c r="C185" t="s">
        <v>1445</v>
      </c>
      <c r="D185">
        <v>50</v>
      </c>
      <c r="E185">
        <v>134.75</v>
      </c>
      <c r="F185">
        <v>6737.5</v>
      </c>
      <c r="G185" t="s">
        <v>1649</v>
      </c>
      <c r="H185">
        <v>2020048</v>
      </c>
      <c r="I185" t="s">
        <v>1434</v>
      </c>
      <c r="J185" t="s">
        <v>1435</v>
      </c>
      <c r="K185" t="s">
        <v>1436</v>
      </c>
      <c r="L185">
        <v>6.74</v>
      </c>
      <c r="M185">
        <v>0.15</v>
      </c>
      <c r="N185">
        <v>0</v>
      </c>
      <c r="O185">
        <v>43.75</v>
      </c>
      <c r="P185">
        <v>50.638300000000001</v>
      </c>
      <c r="R185" s="15">
        <f t="shared" si="2"/>
        <v>7.5158886827458261E-3</v>
      </c>
    </row>
    <row r="186" spans="1:19" x14ac:dyDescent="0.25">
      <c r="A186" s="14">
        <v>43896</v>
      </c>
      <c r="B186" t="s">
        <v>1518</v>
      </c>
      <c r="C186" t="s">
        <v>1445</v>
      </c>
      <c r="D186">
        <v>10</v>
      </c>
      <c r="E186">
        <v>954</v>
      </c>
      <c r="F186">
        <v>9540</v>
      </c>
      <c r="G186" t="s">
        <v>1650</v>
      </c>
      <c r="H186">
        <v>2020048</v>
      </c>
      <c r="I186" t="s">
        <v>1434</v>
      </c>
      <c r="J186" t="s">
        <v>1435</v>
      </c>
      <c r="K186" t="s">
        <v>1436</v>
      </c>
      <c r="L186">
        <v>9.51</v>
      </c>
      <c r="M186">
        <v>0.21</v>
      </c>
      <c r="N186">
        <v>4</v>
      </c>
      <c r="O186">
        <v>61.95</v>
      </c>
      <c r="P186">
        <v>75.669799999999995</v>
      </c>
      <c r="R186" s="15">
        <f t="shared" si="2"/>
        <v>7.931844863731656E-3</v>
      </c>
    </row>
    <row r="187" spans="1:19" x14ac:dyDescent="0.25">
      <c r="A187" s="14">
        <v>43896</v>
      </c>
      <c r="B187" t="s">
        <v>1496</v>
      </c>
      <c r="C187" t="s">
        <v>1445</v>
      </c>
      <c r="D187">
        <v>10</v>
      </c>
      <c r="E187">
        <v>1124</v>
      </c>
      <c r="F187">
        <v>11240</v>
      </c>
      <c r="G187" t="s">
        <v>1651</v>
      </c>
      <c r="H187">
        <v>2020048</v>
      </c>
      <c r="I187" t="s">
        <v>1434</v>
      </c>
      <c r="J187" t="s">
        <v>1435</v>
      </c>
      <c r="K187" t="s">
        <v>1436</v>
      </c>
      <c r="L187">
        <v>11.24</v>
      </c>
      <c r="M187">
        <v>0.25</v>
      </c>
      <c r="N187">
        <v>0</v>
      </c>
      <c r="O187">
        <v>72.989999999999995</v>
      </c>
      <c r="P187">
        <v>84.477199999999996</v>
      </c>
      <c r="R187" s="15">
        <f t="shared" si="2"/>
        <v>7.5157651245551602E-3</v>
      </c>
    </row>
    <row r="188" spans="1:19" x14ac:dyDescent="0.25">
      <c r="A188" s="14">
        <v>43889</v>
      </c>
      <c r="B188" t="s">
        <v>1518</v>
      </c>
      <c r="C188" t="s">
        <v>1445</v>
      </c>
      <c r="D188">
        <v>10</v>
      </c>
      <c r="E188">
        <v>1096</v>
      </c>
      <c r="F188">
        <v>10960</v>
      </c>
      <c r="G188" t="s">
        <v>1652</v>
      </c>
      <c r="H188">
        <v>2020043</v>
      </c>
      <c r="I188" t="s">
        <v>1434</v>
      </c>
      <c r="J188" t="s">
        <v>1435</v>
      </c>
      <c r="K188" t="s">
        <v>1436</v>
      </c>
      <c r="L188">
        <v>11</v>
      </c>
      <c r="M188">
        <v>0.24</v>
      </c>
      <c r="N188">
        <v>2</v>
      </c>
      <c r="O188">
        <v>71.17</v>
      </c>
      <c r="P188">
        <v>84.411199999999994</v>
      </c>
      <c r="R188" s="15">
        <f t="shared" si="2"/>
        <v>7.7017518248175178E-3</v>
      </c>
    </row>
    <row r="190" spans="1:19" x14ac:dyDescent="0.25">
      <c r="F190" s="16">
        <f>SUMIF(C2:C188, "Buy", F2:F188)</f>
        <v>842649.25</v>
      </c>
      <c r="P190">
        <f>SUM(P2:P188)</f>
        <v>16147.226699999994</v>
      </c>
      <c r="S190" s="17"/>
    </row>
    <row r="191" spans="1:19" x14ac:dyDescent="0.25">
      <c r="F191" s="16">
        <f>SUMIF(C2:C188, "Sell", F2:F188)</f>
        <v>1271111.1499999999</v>
      </c>
      <c r="G191">
        <f>SUMIF(B2:B188, "UTIAMC", F2:F188)</f>
        <v>347578.25</v>
      </c>
      <c r="H191" s="18">
        <f>F191-G191</f>
        <v>923532.89999999991</v>
      </c>
      <c r="P191" s="19">
        <f>P190/(F191+F190)</f>
        <v>7.6390998241806377E-3</v>
      </c>
    </row>
    <row r="193" spans="6:6" x14ac:dyDescent="0.25">
      <c r="F193" s="18">
        <f>F191-F190</f>
        <v>428461.89999999991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34"/>
  <sheetViews>
    <sheetView workbookViewId="0">
      <selection activeCell="E20" sqref="E20"/>
    </sheetView>
  </sheetViews>
  <sheetFormatPr defaultRowHeight="15" x14ac:dyDescent="0.25"/>
  <cols>
    <col min="1" max="1" width="18.42578125" bestFit="1" customWidth="1"/>
    <col min="2" max="2" width="16.42578125" bestFit="1" customWidth="1"/>
    <col min="3" max="4" width="12.5703125" bestFit="1" customWidth="1"/>
  </cols>
  <sheetData>
    <row r="3" spans="1:4" x14ac:dyDescent="0.25">
      <c r="A3" s="22" t="s">
        <v>1653</v>
      </c>
      <c r="B3" s="22" t="s">
        <v>1654</v>
      </c>
    </row>
    <row r="4" spans="1:4" x14ac:dyDescent="0.25">
      <c r="A4" s="22" t="s">
        <v>1655</v>
      </c>
      <c r="B4" t="s">
        <v>1445</v>
      </c>
      <c r="C4" t="s">
        <v>1432</v>
      </c>
      <c r="D4" t="s">
        <v>1656</v>
      </c>
    </row>
    <row r="5" spans="1:4" x14ac:dyDescent="0.25">
      <c r="A5" s="20" t="s">
        <v>1499</v>
      </c>
      <c r="B5" s="21"/>
      <c r="C5" s="21">
        <v>44310</v>
      </c>
      <c r="D5" s="21">
        <v>44310</v>
      </c>
    </row>
    <row r="6" spans="1:4" x14ac:dyDescent="0.25">
      <c r="A6" s="20" t="s">
        <v>1562</v>
      </c>
      <c r="B6" s="21">
        <v>21830</v>
      </c>
      <c r="C6" s="21"/>
      <c r="D6" s="21">
        <v>21830</v>
      </c>
    </row>
    <row r="7" spans="1:4" x14ac:dyDescent="0.25">
      <c r="A7" s="20" t="s">
        <v>1454</v>
      </c>
      <c r="B7" s="21">
        <v>17405</v>
      </c>
      <c r="C7" s="21"/>
      <c r="D7" s="21">
        <v>17405</v>
      </c>
    </row>
    <row r="8" spans="1:4" x14ac:dyDescent="0.25">
      <c r="A8" s="20" t="s">
        <v>1481</v>
      </c>
      <c r="B8" s="21"/>
      <c r="C8" s="21">
        <v>37607.5</v>
      </c>
      <c r="D8" s="21">
        <v>37607.5</v>
      </c>
    </row>
    <row r="9" spans="1:4" x14ac:dyDescent="0.25">
      <c r="A9" s="20" t="s">
        <v>1543</v>
      </c>
      <c r="B9" s="21">
        <v>35887.5</v>
      </c>
      <c r="C9" s="21"/>
      <c r="D9" s="21">
        <v>35887.5</v>
      </c>
    </row>
    <row r="10" spans="1:4" x14ac:dyDescent="0.25">
      <c r="A10" s="20" t="s">
        <v>1456</v>
      </c>
      <c r="B10" s="21">
        <v>15310</v>
      </c>
      <c r="C10" s="21"/>
      <c r="D10" s="21">
        <v>15310</v>
      </c>
    </row>
    <row r="11" spans="1:4" x14ac:dyDescent="0.25">
      <c r="A11" s="20" t="s">
        <v>1447</v>
      </c>
      <c r="B11" s="21">
        <v>48602</v>
      </c>
      <c r="C11" s="21"/>
      <c r="D11" s="21">
        <v>48602</v>
      </c>
    </row>
    <row r="12" spans="1:4" x14ac:dyDescent="0.25">
      <c r="A12" s="20" t="s">
        <v>1449</v>
      </c>
      <c r="B12" s="21">
        <v>170738</v>
      </c>
      <c r="C12" s="21"/>
      <c r="D12" s="21">
        <v>170738</v>
      </c>
    </row>
    <row r="13" spans="1:4" x14ac:dyDescent="0.25">
      <c r="A13" s="20" t="s">
        <v>1494</v>
      </c>
      <c r="B13" s="21"/>
      <c r="C13" s="21">
        <v>83889.15</v>
      </c>
      <c r="D13" s="21">
        <v>83889.15</v>
      </c>
    </row>
    <row r="14" spans="1:4" x14ac:dyDescent="0.25">
      <c r="A14" s="20" t="s">
        <v>1458</v>
      </c>
      <c r="B14" s="21">
        <v>147454.25</v>
      </c>
      <c r="C14" s="21"/>
      <c r="D14" s="21">
        <v>147454.25</v>
      </c>
    </row>
    <row r="15" spans="1:4" x14ac:dyDescent="0.25">
      <c r="A15" s="20" t="s">
        <v>1496</v>
      </c>
      <c r="B15" s="21">
        <v>36155</v>
      </c>
      <c r="C15" s="21"/>
      <c r="D15" s="21">
        <v>36155</v>
      </c>
    </row>
    <row r="16" spans="1:4" x14ac:dyDescent="0.25">
      <c r="A16" s="20" t="s">
        <v>1444</v>
      </c>
      <c r="B16" s="21">
        <v>32929.75</v>
      </c>
      <c r="C16" s="21"/>
      <c r="D16" s="21">
        <v>32929.75</v>
      </c>
    </row>
    <row r="17" spans="1:4" x14ac:dyDescent="0.25">
      <c r="A17" s="20" t="s">
        <v>1518</v>
      </c>
      <c r="B17" s="21">
        <v>29941</v>
      </c>
      <c r="C17" s="21">
        <v>31494.5</v>
      </c>
      <c r="D17" s="21">
        <v>61435.5</v>
      </c>
    </row>
    <row r="18" spans="1:4" x14ac:dyDescent="0.25">
      <c r="A18" s="20" t="s">
        <v>1472</v>
      </c>
      <c r="B18" s="21"/>
      <c r="C18" s="21">
        <v>260223</v>
      </c>
      <c r="D18" s="21">
        <v>260223</v>
      </c>
    </row>
    <row r="19" spans="1:4" x14ac:dyDescent="0.25">
      <c r="A19" s="20" t="s">
        <v>1595</v>
      </c>
      <c r="B19" s="21"/>
      <c r="C19" s="21">
        <v>7050</v>
      </c>
      <c r="D19" s="21">
        <v>7050</v>
      </c>
    </row>
    <row r="20" spans="1:4" x14ac:dyDescent="0.25">
      <c r="A20" s="20" t="s">
        <v>1555</v>
      </c>
      <c r="B20" s="21">
        <v>17430</v>
      </c>
      <c r="C20" s="21"/>
      <c r="D20" s="21">
        <v>17430</v>
      </c>
    </row>
    <row r="21" spans="1:4" x14ac:dyDescent="0.25">
      <c r="A21" s="20" t="s">
        <v>1504</v>
      </c>
      <c r="B21" s="21"/>
      <c r="C21" s="21">
        <v>248249.25</v>
      </c>
      <c r="D21" s="21">
        <v>248249.25</v>
      </c>
    </row>
    <row r="22" spans="1:4" x14ac:dyDescent="0.25">
      <c r="A22" s="20" t="s">
        <v>1487</v>
      </c>
      <c r="B22" s="21">
        <v>10517.5</v>
      </c>
      <c r="C22" s="21">
        <v>18000</v>
      </c>
      <c r="D22" s="21">
        <v>28517.5</v>
      </c>
    </row>
    <row r="23" spans="1:4" x14ac:dyDescent="0.25">
      <c r="A23" s="20" t="s">
        <v>1640</v>
      </c>
      <c r="B23" s="21">
        <v>8110</v>
      </c>
      <c r="C23" s="21"/>
      <c r="D23" s="21">
        <v>8110</v>
      </c>
    </row>
    <row r="24" spans="1:4" x14ac:dyDescent="0.25">
      <c r="A24" s="20" t="s">
        <v>1570</v>
      </c>
      <c r="B24" s="21"/>
      <c r="C24" s="21">
        <v>9490</v>
      </c>
      <c r="D24" s="21">
        <v>9490</v>
      </c>
    </row>
    <row r="25" spans="1:4" x14ac:dyDescent="0.25">
      <c r="A25" s="20" t="s">
        <v>1451</v>
      </c>
      <c r="B25" s="21">
        <v>169424.75</v>
      </c>
      <c r="C25" s="21"/>
      <c r="D25" s="21">
        <v>169424.75</v>
      </c>
    </row>
    <row r="26" spans="1:4" x14ac:dyDescent="0.25">
      <c r="A26" s="20" t="s">
        <v>1506</v>
      </c>
      <c r="B26" s="21">
        <v>9550</v>
      </c>
      <c r="C26" s="21">
        <v>30110</v>
      </c>
      <c r="D26" s="21">
        <v>39660</v>
      </c>
    </row>
    <row r="27" spans="1:4" x14ac:dyDescent="0.25">
      <c r="A27" s="20" t="s">
        <v>1622</v>
      </c>
      <c r="B27" s="21">
        <v>33852</v>
      </c>
      <c r="C27" s="21"/>
      <c r="D27" s="21">
        <v>33852</v>
      </c>
    </row>
    <row r="28" spans="1:4" x14ac:dyDescent="0.25">
      <c r="A28" s="20" t="s">
        <v>1521</v>
      </c>
      <c r="B28" s="21"/>
      <c r="C28" s="21">
        <v>5390</v>
      </c>
      <c r="D28" s="21">
        <v>5390</v>
      </c>
    </row>
    <row r="29" spans="1:4" x14ac:dyDescent="0.25">
      <c r="A29" s="20" t="s">
        <v>1431</v>
      </c>
      <c r="B29" s="21">
        <v>7520</v>
      </c>
      <c r="C29" s="21">
        <v>68035.5</v>
      </c>
      <c r="D29" s="21">
        <v>75555.5</v>
      </c>
    </row>
    <row r="30" spans="1:4" x14ac:dyDescent="0.25">
      <c r="A30" s="20" t="s">
        <v>1602</v>
      </c>
      <c r="B30" s="21">
        <v>19742.5</v>
      </c>
      <c r="C30" s="21"/>
      <c r="D30" s="21">
        <v>19742.5</v>
      </c>
    </row>
    <row r="31" spans="1:4" x14ac:dyDescent="0.25">
      <c r="A31" s="20" t="s">
        <v>1512</v>
      </c>
      <c r="B31" s="21">
        <v>10250</v>
      </c>
      <c r="C31" s="21">
        <v>7519.5</v>
      </c>
      <c r="D31" s="21">
        <v>17769.5</v>
      </c>
    </row>
    <row r="32" spans="1:4" x14ac:dyDescent="0.25">
      <c r="A32" s="20" t="s">
        <v>1440</v>
      </c>
      <c r="B32" s="21"/>
      <c r="C32" s="21">
        <v>347578.25</v>
      </c>
      <c r="D32" s="21">
        <v>347578.25</v>
      </c>
    </row>
    <row r="33" spans="1:4" x14ac:dyDescent="0.25">
      <c r="A33" s="20" t="s">
        <v>1624</v>
      </c>
      <c r="B33" s="21"/>
      <c r="C33" s="21">
        <v>72164.5</v>
      </c>
      <c r="D33" s="21">
        <v>72164.5</v>
      </c>
    </row>
    <row r="34" spans="1:4" x14ac:dyDescent="0.25">
      <c r="A34" s="20" t="s">
        <v>1656</v>
      </c>
      <c r="B34" s="21">
        <v>842649.25</v>
      </c>
      <c r="C34" s="21">
        <v>1271111.1499999999</v>
      </c>
      <c r="D34" s="21">
        <v>2113760.4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Portfolio</vt:lpstr>
      <vt:lpstr>Raw Data</vt:lpstr>
      <vt:lpstr>Analysis</vt:lpstr>
      <vt:lpstr>Sheet1</vt:lpstr>
      <vt:lpstr>Sheet2</vt:lpstr>
      <vt:lpstr>stock_name</vt:lpstr>
      <vt:lpstr>ticker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2021-04-14T05:33:21Z</dcterms:modified>
</cp:coreProperties>
</file>